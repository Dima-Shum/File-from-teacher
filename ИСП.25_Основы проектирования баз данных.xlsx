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m_ldpk\Downloads\"/>
    </mc:Choice>
  </mc:AlternateContent>
  <bookViews>
    <workbookView xWindow="0" yWindow="0" windowWidth="28800" windowHeight="12315"/>
  </bookViews>
  <sheets>
    <sheet name="Баллы, оценки" sheetId="1" r:id="rId1"/>
    <sheet name="Чек-лист" sheetId="2" r:id="rId2"/>
    <sheet name="Даты_темы" sheetId="3" r:id="rId3"/>
  </sheets>
  <definedNames>
    <definedName name="dnevnik_header_0" localSheetId="2">Даты_темы!$C$1:$C$3</definedName>
  </definedNames>
  <calcPr calcId="162913"/>
  <extLst>
    <ext uri="GoogleSheetsCustomDataVersion2">
      <go:sheetsCustomData xmlns:go="http://customooxmlschemas.google.com/" r:id="rId7" roundtripDataChecksum="ZKpUSshZhtZtQwmNX3FCGlRckEg2JFKqRxriPK5M8uY="/>
    </ext>
  </extLst>
</workbook>
</file>

<file path=xl/calcChain.xml><?xml version="1.0" encoding="utf-8"?>
<calcChain xmlns="http://schemas.openxmlformats.org/spreadsheetml/2006/main">
  <c r="F14" i="1" l="1"/>
  <c r="G6" i="3"/>
  <c r="V56" i="1"/>
  <c r="AG35" i="1"/>
  <c r="U35" i="1"/>
  <c r="P35" i="1"/>
  <c r="K35" i="1"/>
  <c r="F35" i="1"/>
  <c r="AG34" i="1"/>
  <c r="U34" i="1"/>
  <c r="P34" i="1"/>
  <c r="K34" i="1"/>
  <c r="F34" i="1"/>
  <c r="AG33" i="1"/>
  <c r="U33" i="1"/>
  <c r="P33" i="1"/>
  <c r="K33" i="1"/>
  <c r="F33" i="1"/>
  <c r="T31" i="1"/>
  <c r="S31" i="1"/>
  <c r="R31" i="1"/>
  <c r="Q31" i="1"/>
  <c r="O31" i="1"/>
  <c r="N31" i="1"/>
  <c r="M31" i="1"/>
  <c r="L31" i="1"/>
  <c r="J31" i="1"/>
  <c r="I31" i="1"/>
  <c r="H31" i="1"/>
  <c r="G31" i="1"/>
  <c r="E31" i="1"/>
  <c r="D31" i="1"/>
  <c r="C31" i="1"/>
  <c r="B31" i="1"/>
  <c r="AM28" i="1"/>
  <c r="AL28" i="1"/>
  <c r="U28" i="1"/>
  <c r="P28" i="1"/>
  <c r="K28" i="1"/>
  <c r="F28" i="1"/>
  <c r="AM27" i="1"/>
  <c r="AL27" i="1"/>
  <c r="U27" i="1"/>
  <c r="P27" i="1"/>
  <c r="K27" i="1"/>
  <c r="F27" i="1"/>
  <c r="AM12" i="1"/>
  <c r="AL12" i="1"/>
  <c r="AU12" i="1" s="1"/>
  <c r="U12" i="1"/>
  <c r="P12" i="1"/>
  <c r="K12" i="1"/>
  <c r="F12" i="1"/>
  <c r="AM8" i="1"/>
  <c r="AL8" i="1"/>
  <c r="AU8" i="1" s="1"/>
  <c r="U8" i="1"/>
  <c r="P8" i="1"/>
  <c r="K8" i="1"/>
  <c r="F8" i="1"/>
  <c r="AM7" i="1"/>
  <c r="AL7" i="1"/>
  <c r="AU7" i="1" s="1"/>
  <c r="U7" i="1"/>
  <c r="P7" i="1"/>
  <c r="K7" i="1"/>
  <c r="F7" i="1"/>
  <c r="AM17" i="1"/>
  <c r="AL17" i="1"/>
  <c r="AU17" i="1" s="1"/>
  <c r="U17" i="1"/>
  <c r="P17" i="1"/>
  <c r="K17" i="1"/>
  <c r="F17" i="1"/>
  <c r="AM25" i="1"/>
  <c r="AL25" i="1"/>
  <c r="U25" i="1"/>
  <c r="P25" i="1"/>
  <c r="K25" i="1"/>
  <c r="F25" i="1"/>
  <c r="AU24" i="1"/>
  <c r="AM24" i="1"/>
  <c r="AL24" i="1"/>
  <c r="AU25" i="1" s="1"/>
  <c r="U24" i="1"/>
  <c r="P24" i="1"/>
  <c r="K24" i="1"/>
  <c r="F24" i="1"/>
  <c r="AM26" i="1"/>
  <c r="AL26" i="1"/>
  <c r="U26" i="1"/>
  <c r="P26" i="1"/>
  <c r="K26" i="1"/>
  <c r="F26" i="1"/>
  <c r="AM21" i="1"/>
  <c r="AL21" i="1"/>
  <c r="AU21" i="1" s="1"/>
  <c r="U21" i="1"/>
  <c r="P21" i="1"/>
  <c r="K21" i="1"/>
  <c r="F21" i="1"/>
  <c r="AM23" i="1"/>
  <c r="AL23" i="1"/>
  <c r="U23" i="1"/>
  <c r="P23" i="1"/>
  <c r="K23" i="1"/>
  <c r="F23" i="1"/>
  <c r="AM3" i="1"/>
  <c r="AL3" i="1"/>
  <c r="U3" i="1"/>
  <c r="P3" i="1"/>
  <c r="K3" i="1"/>
  <c r="F3" i="1"/>
  <c r="AM4" i="1"/>
  <c r="AL4" i="1"/>
  <c r="U4" i="1"/>
  <c r="P4" i="1"/>
  <c r="K4" i="1"/>
  <c r="F4" i="1"/>
  <c r="AM29" i="1"/>
  <c r="AL29" i="1"/>
  <c r="AU27" i="1" s="1"/>
  <c r="U29" i="1"/>
  <c r="P29" i="1"/>
  <c r="K29" i="1"/>
  <c r="F29" i="1"/>
  <c r="AM11" i="1"/>
  <c r="AL11" i="1"/>
  <c r="U11" i="1"/>
  <c r="P11" i="1"/>
  <c r="K11" i="1"/>
  <c r="F11" i="1"/>
  <c r="AM16" i="1"/>
  <c r="AL16" i="1"/>
  <c r="AU16" i="1" s="1"/>
  <c r="U16" i="1"/>
  <c r="P16" i="1"/>
  <c r="K16" i="1"/>
  <c r="F16" i="1"/>
  <c r="AM19" i="1"/>
  <c r="AL19" i="1"/>
  <c r="AU19" i="1" s="1"/>
  <c r="U19" i="1"/>
  <c r="P19" i="1"/>
  <c r="K19" i="1"/>
  <c r="F19" i="1"/>
  <c r="AM15" i="1"/>
  <c r="AL15" i="1"/>
  <c r="AU15" i="1" s="1"/>
  <c r="U15" i="1"/>
  <c r="P15" i="1"/>
  <c r="K15" i="1"/>
  <c r="F15" i="1"/>
  <c r="AU6" i="1"/>
  <c r="AM6" i="1"/>
  <c r="AL6" i="1"/>
  <c r="U6" i="1"/>
  <c r="P6" i="1"/>
  <c r="K6" i="1"/>
  <c r="F6" i="1"/>
  <c r="AU20" i="1"/>
  <c r="AM20" i="1"/>
  <c r="AL20" i="1"/>
  <c r="U20" i="1"/>
  <c r="P20" i="1"/>
  <c r="K20" i="1"/>
  <c r="F20" i="1"/>
  <c r="AM13" i="1"/>
  <c r="AL13" i="1"/>
  <c r="U13" i="1"/>
  <c r="P13" i="1"/>
  <c r="K13" i="1"/>
  <c r="F13" i="1"/>
  <c r="AM22" i="1"/>
  <c r="AL22" i="1"/>
  <c r="AU22" i="1" s="1"/>
  <c r="U22" i="1"/>
  <c r="P22" i="1"/>
  <c r="K22" i="1"/>
  <c r="F22" i="1"/>
  <c r="AM10" i="1"/>
  <c r="AL10" i="1"/>
  <c r="AU10" i="1" s="1"/>
  <c r="U10" i="1"/>
  <c r="P10" i="1"/>
  <c r="K10" i="1"/>
  <c r="F10" i="1"/>
  <c r="AM5" i="1"/>
  <c r="AL5" i="1"/>
  <c r="AU5" i="1" s="1"/>
  <c r="U5" i="1"/>
  <c r="P5" i="1"/>
  <c r="K5" i="1"/>
  <c r="F5" i="1"/>
  <c r="AU30" i="1"/>
  <c r="AM30" i="1"/>
  <c r="AL30" i="1"/>
  <c r="AU28" i="1" s="1"/>
  <c r="U30" i="1"/>
  <c r="P30" i="1"/>
  <c r="K30" i="1"/>
  <c r="F30" i="1"/>
  <c r="AM18" i="1"/>
  <c r="AL18" i="1"/>
  <c r="AU4" i="1" s="1"/>
  <c r="U18" i="1"/>
  <c r="P18" i="1"/>
  <c r="K18" i="1"/>
  <c r="F18" i="1"/>
  <c r="AM9" i="1"/>
  <c r="AL9" i="1"/>
  <c r="U9" i="1"/>
  <c r="P9" i="1"/>
  <c r="K9" i="1"/>
  <c r="F9" i="1"/>
  <c r="AM14" i="1"/>
  <c r="AL14" i="1"/>
  <c r="AU14" i="1" s="1"/>
  <c r="U14" i="1"/>
  <c r="P14" i="1"/>
  <c r="K14" i="1"/>
  <c r="AU9" i="1" l="1"/>
  <c r="AU29" i="1"/>
  <c r="AU3" i="1"/>
  <c r="AU23" i="1"/>
  <c r="AU26" i="1"/>
  <c r="AU11" i="1"/>
  <c r="AU18" i="1"/>
  <c r="AU13" i="1"/>
</calcChain>
</file>

<file path=xl/sharedStrings.xml><?xml version="1.0" encoding="utf-8"?>
<sst xmlns="http://schemas.openxmlformats.org/spreadsheetml/2006/main" count="277" uniqueCount="256">
  <si>
    <t>Фамилия Имя</t>
  </si>
  <si>
    <t>1</t>
  </si>
  <si>
    <t>2</t>
  </si>
  <si>
    <t>3</t>
  </si>
  <si>
    <t>4</t>
  </si>
  <si>
    <t>оценка 1</t>
  </si>
  <si>
    <t>5</t>
  </si>
  <si>
    <t>6</t>
  </si>
  <si>
    <t>7</t>
  </si>
  <si>
    <t>8</t>
  </si>
  <si>
    <t>оценка 2</t>
  </si>
  <si>
    <t>9</t>
  </si>
  <si>
    <t>10</t>
  </si>
  <si>
    <t>11</t>
  </si>
  <si>
    <t>12</t>
  </si>
  <si>
    <t>оценка  3</t>
  </si>
  <si>
    <t>13</t>
  </si>
  <si>
    <t>14</t>
  </si>
  <si>
    <t>15</t>
  </si>
  <si>
    <t>16</t>
  </si>
  <si>
    <t>оценка  4</t>
  </si>
  <si>
    <t>ПР1_ур.17</t>
  </si>
  <si>
    <t>ПР2_ур.18</t>
  </si>
  <si>
    <t>ПР3_ур.19</t>
  </si>
  <si>
    <t>ПР4_ур.20</t>
  </si>
  <si>
    <t>ПР5_ур.21</t>
  </si>
  <si>
    <t>ПР6_ур.22</t>
  </si>
  <si>
    <t>ПР7_ур.23</t>
  </si>
  <si>
    <t>ЛР 1_ур.24</t>
  </si>
  <si>
    <t>ЛР 2_ур.25</t>
  </si>
  <si>
    <t>ЛР 3_ур.26</t>
  </si>
  <si>
    <t>ЛР 4_ур.27</t>
  </si>
  <si>
    <t xml:space="preserve"> 28</t>
  </si>
  <si>
    <t>29</t>
  </si>
  <si>
    <t>30</t>
  </si>
  <si>
    <t xml:space="preserve"> 31</t>
  </si>
  <si>
    <t xml:space="preserve"> 32</t>
  </si>
  <si>
    <t>итог в баллах</t>
  </si>
  <si>
    <t>кол-пропусков</t>
  </si>
  <si>
    <t>доп.задания</t>
  </si>
  <si>
    <t>ДЗ_ER-модель в тет.</t>
  </si>
  <si>
    <t>ДЗ_БД Успев</t>
  </si>
  <si>
    <t>ДЗ БД своя+кл.раб</t>
  </si>
  <si>
    <t>ДЗ</t>
  </si>
  <si>
    <t>Диф. зачет_33</t>
  </si>
  <si>
    <t>12.10/15.10</t>
  </si>
  <si>
    <t>19.10/22.10.2025</t>
  </si>
  <si>
    <t>26.10/29.10</t>
  </si>
  <si>
    <t>02.11/05.11</t>
  </si>
  <si>
    <t>32 урока</t>
  </si>
  <si>
    <t>STEPIC</t>
  </si>
  <si>
    <t>доп.баллы</t>
  </si>
  <si>
    <t>Антонов Юрий</t>
  </si>
  <si>
    <t>Асмеев Никита</t>
  </si>
  <si>
    <t>Беляева Екатерина</t>
  </si>
  <si>
    <t xml:space="preserve">Веселкин Илья </t>
  </si>
  <si>
    <t>Волков Григорий</t>
  </si>
  <si>
    <t>Ворожейкин Дмитрий</t>
  </si>
  <si>
    <t xml:space="preserve">Дурандин Александр </t>
  </si>
  <si>
    <t xml:space="preserve">Живодсков Данила </t>
  </si>
  <si>
    <t>5-</t>
  </si>
  <si>
    <t>Журин Степан</t>
  </si>
  <si>
    <t xml:space="preserve">Зайцев Никита </t>
  </si>
  <si>
    <t xml:space="preserve">Иванова Яна </t>
  </si>
  <si>
    <t xml:space="preserve">Конкин Илья </t>
  </si>
  <si>
    <t xml:space="preserve">Краснянский Евгений </t>
  </si>
  <si>
    <t xml:space="preserve">Кузнецов Даниил </t>
  </si>
  <si>
    <t xml:space="preserve">Липатов Сергей </t>
  </si>
  <si>
    <t xml:space="preserve">Матвеев Иван </t>
  </si>
  <si>
    <t xml:space="preserve">Матвеев Никита </t>
  </si>
  <si>
    <t xml:space="preserve">Машинистов Никита </t>
  </si>
  <si>
    <t>Панфилов Андрей</t>
  </si>
  <si>
    <t xml:space="preserve">Петров Никита </t>
  </si>
  <si>
    <t xml:space="preserve">Ракитин Олег </t>
  </si>
  <si>
    <t>Русинов Руслан</t>
  </si>
  <si>
    <t xml:space="preserve">Рысев Максим </t>
  </si>
  <si>
    <t>Свиков Илья</t>
  </si>
  <si>
    <t xml:space="preserve">Семёнов Никита </t>
  </si>
  <si>
    <t xml:space="preserve">Спирин Максим </t>
  </si>
  <si>
    <t xml:space="preserve">Суворов Ярослав </t>
  </si>
  <si>
    <t>Шапляк Максим</t>
  </si>
  <si>
    <t>ПРАКТИЧЕСКИЕ РАБОТЫ</t>
  </si>
  <si>
    <t>ЛАБОРАТОРНЫЕ РАБОТЫ</t>
  </si>
  <si>
    <t>Итоговый балл и оценка:</t>
  </si>
  <si>
    <t>ОТЛИЧНО (оценка 5)</t>
  </si>
  <si>
    <t>от 38 до 31</t>
  </si>
  <si>
    <t>ХОРОШО (оценка 4)</t>
  </si>
  <si>
    <t>от 30,9 до 25</t>
  </si>
  <si>
    <t>УДОВЛЕТВ. (оценка 3)</t>
  </si>
  <si>
    <t>от 24,9 до 21</t>
  </si>
  <si>
    <t>Промежуточный балл:</t>
  </si>
  <si>
    <t>3,5 Балла &gt;= оценка 5</t>
  </si>
  <si>
    <t>2,5 Б &gt;= оценка 4 &lt; 3,5 Б</t>
  </si>
  <si>
    <t>1 Б &gt; оценка 3 &lt; 2,5 Б</t>
  </si>
  <si>
    <t>Комментарии по баллам в таблице</t>
  </si>
  <si>
    <t>работа в классе</t>
  </si>
  <si>
    <t>все решено, ошибок нет</t>
  </si>
  <si>
    <t>отлично</t>
  </si>
  <si>
    <t>все решено, ошибок мало</t>
  </si>
  <si>
    <t>хорош.</t>
  </si>
  <si>
    <t>все решено, ошибки</t>
  </si>
  <si>
    <t>удовл.</t>
  </si>
  <si>
    <t>ДОБИРАЕМ БАЛЛЫ по необходимости</t>
  </si>
  <si>
    <t>Активность на уроке</t>
  </si>
  <si>
    <t>Дом. задание в moodle</t>
  </si>
  <si>
    <t>Дом. задание на уроке</t>
  </si>
  <si>
    <t>Наставник на уроке</t>
  </si>
  <si>
    <t>Разработка Google-форм, анализ</t>
  </si>
  <si>
    <t>Разработка презентаций к урокам по стандарту</t>
  </si>
  <si>
    <t>Участие в мероприятиях проф.направленности</t>
  </si>
  <si>
    <t>Вопросы уроков (1-3)</t>
  </si>
  <si>
    <t>ДЗ_1-3 по учебнику</t>
  </si>
  <si>
    <t>ИТОГ                   (4 урок)</t>
  </si>
  <si>
    <t>Вопросы уроков (5-7)</t>
  </si>
  <si>
    <t>ДЗ_5-7 по учебнику</t>
  </si>
  <si>
    <t>ИТОГ              (8 урок)</t>
  </si>
  <si>
    <t>Вопросы уроков (9-11)</t>
  </si>
  <si>
    <t>ДЗ_9-11 по учебнику</t>
  </si>
  <si>
    <t>ИТОГ             (12 урок)</t>
  </si>
  <si>
    <t>Вопросы уроков (13-15)</t>
  </si>
  <si>
    <t>ДЗ_13-15 по учебнику</t>
  </si>
  <si>
    <t>ИТОГ              (16 урок)</t>
  </si>
  <si>
    <t>Темы Практических работ</t>
  </si>
  <si>
    <t>Темы Лабораторных работ</t>
  </si>
  <si>
    <r>
      <rPr>
        <sz val="10"/>
        <color rgb="FFFF0000"/>
        <rFont val="Arial"/>
      </rPr>
      <t xml:space="preserve">1. </t>
    </r>
    <r>
      <rPr>
        <sz val="10"/>
        <color theme="1"/>
        <rFont val="Arial"/>
      </rPr>
      <t>Введение в теорию Баз данных, СУБД</t>
    </r>
  </si>
  <si>
    <t>стр. 5-8</t>
  </si>
  <si>
    <t>Вопросы по учебнику</t>
  </si>
  <si>
    <r>
      <rPr>
        <sz val="10"/>
        <color rgb="FFFF0000"/>
        <rFont val="Arial"/>
      </rPr>
      <t>5.</t>
    </r>
    <r>
      <rPr>
        <sz val="10"/>
        <color theme="1"/>
        <rFont val="Arial"/>
      </rPr>
      <t xml:space="preserve"> Нормализация баз данных</t>
    </r>
  </si>
  <si>
    <t>стр.23-27</t>
  </si>
  <si>
    <t>Контрольные вопросы по учебнику стр. 35-37</t>
  </si>
  <si>
    <r>
      <rPr>
        <sz val="10"/>
        <color rgb="FFFF0000"/>
        <rFont val="Arial"/>
      </rPr>
      <t xml:space="preserve">9. </t>
    </r>
    <r>
      <rPr>
        <sz val="10"/>
        <color theme="1"/>
        <rFont val="Arial"/>
      </rPr>
      <t>Основные  характеристики и возможности СУБД MS Access</t>
    </r>
  </si>
  <si>
    <t>стр. 38-42</t>
  </si>
  <si>
    <t>Контрольные вопросы по учебнику стр. 94-95 (с 1-18)</t>
  </si>
  <si>
    <r>
      <rPr>
        <sz val="10"/>
        <color rgb="FFFF0000"/>
        <rFont val="Arial"/>
      </rPr>
      <t>13.</t>
    </r>
    <r>
      <rPr>
        <sz val="10"/>
        <color theme="1"/>
        <rFont val="Arial"/>
      </rPr>
      <t xml:space="preserve"> Разработка БД в СУБД MS Access: формы (элементы управления), отчеты</t>
    </r>
  </si>
  <si>
    <t>стр.78-84</t>
  </si>
  <si>
    <t>Контрольные вопросы по учебнику стр. 94-95 (с 18-26)</t>
  </si>
  <si>
    <r>
      <rPr>
        <sz val="10"/>
        <color rgb="FFFF0000"/>
        <rFont val="Arial"/>
      </rPr>
      <t xml:space="preserve">Практическая работа №1 </t>
    </r>
    <r>
      <rPr>
        <sz val="10"/>
        <color theme="1"/>
        <rFont val="Arial"/>
      </rPr>
      <t xml:space="preserve">ER-модель, язык инфологического моделирования. </t>
    </r>
    <r>
      <rPr>
        <sz val="10"/>
        <color rgb="FFFF0000"/>
        <rFont val="Arial"/>
      </rPr>
      <t>Практическая работа №1</t>
    </r>
    <r>
      <rPr>
        <sz val="10"/>
        <color theme="1"/>
        <rFont val="Arial"/>
      </rPr>
      <t>Проектирование по темам:  "Электронная ведомость", процесс нормализации</t>
    </r>
  </si>
  <si>
    <r>
      <rPr>
        <sz val="10"/>
        <color rgb="FFFF0000"/>
        <rFont val="Arial"/>
      </rPr>
      <t>Лабораторная работа №1</t>
    </r>
    <r>
      <rPr>
        <sz val="10"/>
        <color theme="1"/>
        <rFont val="Arial"/>
      </rPr>
      <t xml:space="preserve"> Разработка вариативной БД, ER-модель, основные объекты, схема данных</t>
    </r>
  </si>
  <si>
    <t>Понятие предметной области. ER-модель</t>
  </si>
  <si>
    <t>ТЕСТ</t>
  </si>
  <si>
    <t>Нормальные формы: 1НФ, 2НФ, 3НФ</t>
  </si>
  <si>
    <t>Основные компоненты СУБД MS Access: таблица, запрос, форма, отчет, макрос</t>
  </si>
  <si>
    <t>Условия отбора записей, сортировка и фильтрация</t>
  </si>
  <si>
    <r>
      <rPr>
        <sz val="10"/>
        <color rgb="FFFF0000"/>
        <rFont val="Arial"/>
      </rPr>
      <t>Практическая работа №2</t>
    </r>
    <r>
      <rPr>
        <sz val="10"/>
        <color theme="1"/>
        <rFont val="Arial"/>
      </rPr>
      <t xml:space="preserve"> Работа в среде Access. Разработка БД. Схема данных  </t>
    </r>
    <r>
      <rPr>
        <sz val="10"/>
        <color rgb="FFFF0000"/>
        <rFont val="Arial"/>
      </rPr>
      <t>Практическая работа №2</t>
    </r>
    <r>
      <rPr>
        <sz val="10"/>
        <color theme="1"/>
        <rFont val="Arial"/>
      </rPr>
      <t xml:space="preserve">  Проектирование по темам: "Поликлиника", "Библиотека", процесс нормализации</t>
    </r>
  </si>
  <si>
    <r>
      <rPr>
        <sz val="10"/>
        <color rgb="FFFF0000"/>
        <rFont val="Arial"/>
      </rPr>
      <t>Лабораторная работа №2</t>
    </r>
    <r>
      <rPr>
        <sz val="10"/>
        <color theme="1"/>
        <rFont val="Arial"/>
      </rPr>
      <t xml:space="preserve"> Разработка информативных запросов к вариативной БД</t>
    </r>
  </si>
  <si>
    <r>
      <rPr>
        <sz val="10"/>
        <color rgb="FFFF0000"/>
        <rFont val="Arial"/>
      </rPr>
      <t>2.</t>
    </r>
    <r>
      <rPr>
        <sz val="10"/>
        <color theme="1"/>
        <rFont val="Arial"/>
      </rPr>
      <t xml:space="preserve"> Состав информационной модели: концептуальная, логическая, физическая модели</t>
    </r>
  </si>
  <si>
    <t>стр. 9-11</t>
  </si>
  <si>
    <t>Самостоят. работа</t>
  </si>
  <si>
    <r>
      <rPr>
        <sz val="10"/>
        <color rgb="FFFF0000"/>
        <rFont val="Arial"/>
      </rPr>
      <t>6.</t>
    </r>
    <r>
      <rPr>
        <sz val="10"/>
        <color theme="1"/>
        <rFont val="Arial"/>
      </rPr>
      <t xml:space="preserve"> Основы реляционной алгебры</t>
    </r>
  </si>
  <si>
    <t>стр. 17-22</t>
  </si>
  <si>
    <r>
      <rPr>
        <sz val="10"/>
        <color rgb="FFFF0000"/>
        <rFont val="Arial"/>
      </rPr>
      <t>10.</t>
    </r>
    <r>
      <rPr>
        <sz val="10"/>
        <color theme="1"/>
        <rFont val="Arial"/>
      </rPr>
      <t xml:space="preserve"> Типы данных базы данных, способы создания таблиц, импорт БД</t>
    </r>
  </si>
  <si>
    <t>стр. 42-47</t>
  </si>
  <si>
    <r>
      <rPr>
        <sz val="10"/>
        <color rgb="FFFF0000"/>
        <rFont val="Arial"/>
      </rPr>
      <t>14.</t>
    </r>
    <r>
      <rPr>
        <sz val="10"/>
        <color theme="1"/>
        <rFont val="Arial"/>
      </rPr>
      <t xml:space="preserve"> Элементы языка SQL, запросы в форме SQL</t>
    </r>
  </si>
  <si>
    <t>стр. 64-69</t>
  </si>
  <si>
    <r>
      <rPr>
        <sz val="10"/>
        <color rgb="FFFF0000"/>
        <rFont val="Arial"/>
      </rPr>
      <t>Практическая работа №3</t>
    </r>
    <r>
      <rPr>
        <sz val="10"/>
        <color theme="1"/>
        <rFont val="Arial"/>
      </rPr>
      <t xml:space="preserve"> Импорт данных при разработке БД Access  </t>
    </r>
    <r>
      <rPr>
        <sz val="10"/>
        <color rgb="FFFF0000"/>
        <rFont val="Arial"/>
      </rPr>
      <t xml:space="preserve">Практическая работа №3 </t>
    </r>
    <r>
      <rPr>
        <sz val="10"/>
        <color theme="1"/>
        <rFont val="Arial"/>
      </rPr>
      <t>Проектирование по темам: "Продажа товара", "Сад" (excel), нормальные формы</t>
    </r>
  </si>
  <si>
    <r>
      <rPr>
        <sz val="10"/>
        <color rgb="FFFF0000"/>
        <rFont val="Arial"/>
      </rPr>
      <t xml:space="preserve">Лабораторная работа №3 </t>
    </r>
    <r>
      <rPr>
        <sz val="10"/>
        <color theme="1"/>
        <rFont val="Arial"/>
      </rPr>
      <t>Разработка форм, отчетов по вариативной БД</t>
    </r>
  </si>
  <si>
    <t xml:space="preserve">Знакомство с СУБД Access, БД "Выставка собак", "Мой сад".                       Словарь данных </t>
  </si>
  <si>
    <t>Работа за ПК, Словарь данных</t>
  </si>
  <si>
    <t>Запросы к базе данных</t>
  </si>
  <si>
    <t>Работа за ПК, анализ БД, проект БД</t>
  </si>
  <si>
    <t>Разработка БД в СУБД MS Access: таблицы, запросы</t>
  </si>
  <si>
    <t>стр. 46-53</t>
  </si>
  <si>
    <t>Работа за ПК, разработка БД</t>
  </si>
  <si>
    <t>Операторы языка SQL</t>
  </si>
  <si>
    <t>Работа за ПК, разработка запросов</t>
  </si>
  <si>
    <r>
      <rPr>
        <sz val="10"/>
        <color rgb="FFFF0000"/>
        <rFont val="Arial"/>
      </rPr>
      <t>Практическая работа №4</t>
    </r>
    <r>
      <rPr>
        <sz val="10"/>
        <color theme="1"/>
        <rFont val="Arial"/>
      </rPr>
      <t xml:space="preserve"> Работа в среде Access. Запросы                                                     </t>
    </r>
    <r>
      <rPr>
        <sz val="10"/>
        <color rgb="FFFF0000"/>
        <rFont val="Arial"/>
      </rPr>
      <t>Практическая работа №4</t>
    </r>
    <r>
      <rPr>
        <sz val="10"/>
        <color theme="1"/>
        <rFont val="Arial"/>
      </rPr>
      <t xml:space="preserve"> Проектирование информационных запросов по темам выше, бланк запроса</t>
    </r>
  </si>
  <si>
    <r>
      <rPr>
        <sz val="10"/>
        <color rgb="FFFF0000"/>
        <rFont val="Arial"/>
      </rPr>
      <t>Лабораторная работа №4</t>
    </r>
    <r>
      <rPr>
        <sz val="10"/>
        <color theme="1"/>
        <rFont val="Arial"/>
      </rPr>
      <t xml:space="preserve"> Разработка отчетной документации. Сдача вариативной работы</t>
    </r>
  </si>
  <si>
    <r>
      <rPr>
        <sz val="10"/>
        <color rgb="FFFF0000"/>
        <rFont val="Arial"/>
      </rPr>
      <t>3.</t>
    </r>
    <r>
      <rPr>
        <sz val="10"/>
        <color theme="1"/>
        <rFont val="Arial"/>
      </rPr>
      <t xml:space="preserve"> Три типа логической модели данных: иерархическая, сетевая, реляционная</t>
    </r>
  </si>
  <si>
    <t>стр.11-17</t>
  </si>
  <si>
    <r>
      <rPr>
        <sz val="10"/>
        <color rgb="FFFF0000"/>
        <rFont val="Arial"/>
      </rPr>
      <t xml:space="preserve">7. </t>
    </r>
    <r>
      <rPr>
        <sz val="10"/>
        <color rgb="FF000000"/>
        <rFont val="Arial"/>
      </rPr>
      <t>Этапы проектирования БД</t>
    </r>
  </si>
  <si>
    <t>стр. 27-35</t>
  </si>
  <si>
    <r>
      <rPr>
        <sz val="10"/>
        <color rgb="FFFF0000"/>
        <rFont val="Arial"/>
      </rPr>
      <t>11.</t>
    </r>
    <r>
      <rPr>
        <sz val="10"/>
        <color theme="1"/>
        <rFont val="Arial"/>
      </rPr>
      <t xml:space="preserve"> Обработка даных в БД.  Бланк запрос. </t>
    </r>
  </si>
  <si>
    <t>стр.54-63</t>
  </si>
  <si>
    <r>
      <rPr>
        <sz val="10"/>
        <color rgb="FFFF0000"/>
        <rFont val="Arial"/>
      </rPr>
      <t>15.</t>
    </r>
    <r>
      <rPr>
        <sz val="10"/>
        <color theme="1"/>
        <rFont val="Arial"/>
      </rPr>
      <t xml:space="preserve"> Организация запросов в форме SQL</t>
    </r>
  </si>
  <si>
    <t>стр. 69-75</t>
  </si>
  <si>
    <r>
      <rPr>
        <sz val="10"/>
        <color rgb="FFFF0000"/>
        <rFont val="Arial"/>
      </rPr>
      <t xml:space="preserve">Практическая работа №5 </t>
    </r>
    <r>
      <rPr>
        <sz val="10"/>
        <color rgb="FF000000"/>
        <rFont val="Arial"/>
      </rPr>
      <t xml:space="preserve"> Разработка запросов различного вида                    </t>
    </r>
    <r>
      <rPr>
        <sz val="10"/>
        <color rgb="FFFF0000"/>
        <rFont val="Arial"/>
      </rPr>
      <t xml:space="preserve"> Практическая работа №5 </t>
    </r>
    <r>
      <rPr>
        <sz val="10"/>
        <color rgb="FF000000"/>
        <rFont val="Arial"/>
      </rPr>
      <t>Проектирование информационных запросов, интерфейс логического выполнения функции БД по темам выше</t>
    </r>
  </si>
  <si>
    <t xml:space="preserve"> Реляционная модель: таблица, первичный и внешний ключ, схема данных</t>
  </si>
  <si>
    <t>Проектирование Схемы данных: атрибуты, первичные и внешние ключи,  3НФ</t>
  </si>
  <si>
    <t>Виды запросов: выборка с условием, выборка с параметром, итоговый, вычисляемый, перекрестный</t>
  </si>
  <si>
    <t>Синтаксис оператора Select</t>
  </si>
  <si>
    <r>
      <rPr>
        <sz val="10"/>
        <color rgb="FFFF0000"/>
        <rFont val="Arial"/>
      </rPr>
      <t xml:space="preserve">Практическая работа №6 </t>
    </r>
    <r>
      <rPr>
        <sz val="10"/>
        <color rgb="FF000000"/>
        <rFont val="Arial"/>
      </rPr>
      <t xml:space="preserve">Разработка форм: Главная, основная, подчиненная                                                                                     </t>
    </r>
    <r>
      <rPr>
        <sz val="10"/>
        <color rgb="FFFF0000"/>
        <rFont val="Arial"/>
      </rPr>
      <t xml:space="preserve">Практическая работа №6  </t>
    </r>
    <r>
      <rPr>
        <sz val="10"/>
        <color rgb="FF000000"/>
        <rFont val="Arial"/>
      </rPr>
      <t xml:space="preserve">Проектирование отчетов, интерфейс приложения по темам выше </t>
    </r>
  </si>
  <si>
    <r>
      <rPr>
        <sz val="10"/>
        <color rgb="FFFF0000"/>
        <rFont val="Arial"/>
      </rPr>
      <t xml:space="preserve">Практическая работа №7 </t>
    </r>
    <r>
      <rPr>
        <sz val="10"/>
        <color rgb="FF000000"/>
        <rFont val="Arial"/>
      </rPr>
      <t xml:space="preserve">Работа с запросами в режиме SQL                                               </t>
    </r>
    <r>
      <rPr>
        <sz val="10"/>
        <color rgb="FFFF0000"/>
        <rFont val="Arial"/>
      </rPr>
      <t xml:space="preserve">Практическая работа №7 </t>
    </r>
    <r>
      <rPr>
        <sz val="10"/>
        <color rgb="FF000000"/>
        <rFont val="Arial"/>
      </rPr>
      <t>Проектирование информационных запросов в режиме SQL по темам выше</t>
    </r>
  </si>
  <si>
    <t>Учебник: А.В.Кузин, В.М. Демин "Разработка баз данных в системе MS Access"</t>
  </si>
  <si>
    <t>Обязательная предварительная подготовка к практическим заданиям, смотрим в moodle</t>
  </si>
  <si>
    <t>Обязательная предварительная подготовка к лабораторным заданиям, смотрим в moodle</t>
  </si>
  <si>
    <t>Группа: ИСП 25А. 1 семестр</t>
  </si>
  <si>
    <t>кол-во оценок</t>
  </si>
  <si>
    <t>Дисциплина: Основы проектирования БД</t>
  </si>
  <si>
    <t>итог_оценка за 4 урока</t>
  </si>
  <si>
    <t>ФИО преподавателя: Ольга Михайловна Селиверстова</t>
  </si>
  <si>
    <t>практическая работа</t>
  </si>
  <si>
    <t>№</t>
  </si>
  <si>
    <t>лабораторная работа</t>
  </si>
  <si>
    <t>Урока</t>
  </si>
  <si>
    <t>Дата</t>
  </si>
  <si>
    <t>Тема занятия</t>
  </si>
  <si>
    <t>теория</t>
  </si>
  <si>
    <t>Введение в теорию Баз данных, СУБД</t>
  </si>
  <si>
    <t>Состав информационной модели: концептуальная, логическая, физическая модели</t>
  </si>
  <si>
    <t>1 подгр на уроке</t>
  </si>
  <si>
    <t>2 подгр  2 пара четверг</t>
  </si>
  <si>
    <t xml:space="preserve">Знакомство с СУБД Access, БД "Выставка собак", "Мой сад". Словарь данных </t>
  </si>
  <si>
    <t>Лабораторная работа №1</t>
  </si>
  <si>
    <t>Три типа логической модели данных: иерархическая, сетевая, реляционная</t>
  </si>
  <si>
    <t>Лабораторная работа №2</t>
  </si>
  <si>
    <t xml:space="preserve"> Реляционная модель: таблица, первичный и внешний ключ, схема данных, типы данных</t>
  </si>
  <si>
    <t>Лабораторная работа №3</t>
  </si>
  <si>
    <r>
      <rPr>
        <b/>
        <sz val="10"/>
        <color rgb="FFFF0000"/>
        <rFont val="Arial"/>
      </rPr>
      <t>Тестирование</t>
    </r>
    <r>
      <rPr>
        <b/>
        <sz val="10"/>
        <color rgb="FFFF0000"/>
        <rFont val="Arial"/>
      </rPr>
      <t>. Анализ и описание предлагаемой БД, составление Словаря данных</t>
    </r>
  </si>
  <si>
    <t>Лабораторная работа №4</t>
  </si>
  <si>
    <t>Язык инфологического моделирования</t>
  </si>
  <si>
    <r>
      <rPr>
        <b/>
        <sz val="10"/>
        <color theme="1"/>
        <rFont val="Arial"/>
      </rPr>
      <t>Практическая работа №1</t>
    </r>
    <r>
      <rPr>
        <sz val="10"/>
        <color theme="1"/>
        <rFont val="Arial"/>
      </rPr>
      <t xml:space="preserve"> ER-модель, язык инфологического моделирования. </t>
    </r>
  </si>
  <si>
    <r>
      <rPr>
        <b/>
        <sz val="10"/>
        <color theme="1"/>
        <rFont val="Arial"/>
      </rPr>
      <t xml:space="preserve">Практическая работа №1 </t>
    </r>
    <r>
      <rPr>
        <sz val="10"/>
        <color theme="1"/>
        <rFont val="Arial"/>
      </rPr>
      <t>Проектирование по теме  "Библиотека"</t>
    </r>
  </si>
  <si>
    <t>Нормализация баз данных</t>
  </si>
  <si>
    <t xml:space="preserve"> Основы реляционной алгебры</t>
  </si>
  <si>
    <t>Этапы проектирования БД</t>
  </si>
  <si>
    <t>Операции над отношениями</t>
  </si>
  <si>
    <r>
      <rPr>
        <sz val="10"/>
        <color theme="1"/>
        <rFont val="Arial"/>
      </rPr>
      <t xml:space="preserve">Разбор примера выполнения вариативного задания/  </t>
    </r>
    <r>
      <rPr>
        <sz val="10"/>
        <color rgb="FFFF0000"/>
        <rFont val="Arial"/>
      </rPr>
      <t>Т</t>
    </r>
    <r>
      <rPr>
        <b/>
        <sz val="10"/>
        <color rgb="FFFF0000"/>
        <rFont val="Arial"/>
      </rPr>
      <t>естирование Типы данных базы данных, способы создания таблиц, импорт БД</t>
    </r>
  </si>
  <si>
    <t xml:space="preserve"> Основные  характеристики и возможности СУБД MS Access</t>
  </si>
  <si>
    <t xml:space="preserve">Обработка даных в БД.  Бланк запрос. </t>
  </si>
  <si>
    <t>12.10.-15/10</t>
  </si>
  <si>
    <r>
      <rPr>
        <b/>
        <i/>
        <sz val="10"/>
        <color theme="1"/>
        <rFont val="Arial"/>
      </rPr>
      <t>Лабораторная работа №1</t>
    </r>
    <r>
      <rPr>
        <b/>
        <i/>
        <sz val="10"/>
        <color theme="1"/>
        <rFont val="Arial"/>
      </rPr>
      <t xml:space="preserve"> Разработка вариативной БД, ER-модель, основные объекты, схема данных</t>
    </r>
  </si>
  <si>
    <r>
      <rPr>
        <b/>
        <i/>
        <sz val="10"/>
        <color theme="1"/>
        <rFont val="Arial"/>
      </rPr>
      <t>Лабораторная работа №1</t>
    </r>
    <r>
      <rPr>
        <b/>
        <i/>
        <sz val="10"/>
        <color theme="1"/>
        <rFont val="Arial"/>
      </rPr>
      <t xml:space="preserve"> Разработка вариативной БД, ER-модель, основные объекты, схема данных</t>
    </r>
  </si>
  <si>
    <r>
      <rPr>
        <b/>
        <sz val="10"/>
        <color theme="1"/>
        <rFont val="Arial"/>
      </rPr>
      <t>Практическая работа №2</t>
    </r>
    <r>
      <rPr>
        <sz val="10"/>
        <color theme="1"/>
        <rFont val="Arial"/>
      </rPr>
      <t xml:space="preserve"> Работа в среде Access. Разработка БД. Схема данных  </t>
    </r>
  </si>
  <si>
    <r>
      <rPr>
        <b/>
        <sz val="10"/>
        <color theme="1"/>
        <rFont val="Arial"/>
      </rPr>
      <t>Практическая работа №2</t>
    </r>
    <r>
      <rPr>
        <sz val="10"/>
        <color theme="1"/>
        <rFont val="Arial"/>
      </rPr>
      <t xml:space="preserve">  Проектирование по темам: "Поликлиника", "Библиотека", процесс нормализации</t>
    </r>
  </si>
  <si>
    <r>
      <rPr>
        <b/>
        <i/>
        <sz val="10"/>
        <color theme="1"/>
        <rFont val="Arial"/>
      </rPr>
      <t>Лабораторная работа №2</t>
    </r>
    <r>
      <rPr>
        <b/>
        <i/>
        <sz val="10"/>
        <color theme="1"/>
        <rFont val="Arial"/>
      </rPr>
      <t xml:space="preserve"> Разработка информативных запросов к вариативной БД</t>
    </r>
  </si>
  <si>
    <r>
      <rPr>
        <b/>
        <i/>
        <sz val="10"/>
        <color theme="1"/>
        <rFont val="Arial"/>
      </rPr>
      <t>Лабораторная работа №2</t>
    </r>
    <r>
      <rPr>
        <b/>
        <i/>
        <sz val="10"/>
        <color theme="1"/>
        <rFont val="Arial"/>
      </rPr>
      <t xml:space="preserve"> Разработка информативных запросов к вариативной БД</t>
    </r>
  </si>
  <si>
    <r>
      <rPr>
        <b/>
        <sz val="10"/>
        <color theme="1"/>
        <rFont val="Arial"/>
      </rPr>
      <t xml:space="preserve">Практическая работа №3 </t>
    </r>
    <r>
      <rPr>
        <sz val="10"/>
        <color theme="1"/>
        <rFont val="Arial"/>
      </rPr>
      <t>Импорт данных при разработке БД Access  нормальные формы</t>
    </r>
  </si>
  <si>
    <r>
      <rPr>
        <b/>
        <sz val="10"/>
        <color theme="1"/>
        <rFont val="Arial"/>
      </rPr>
      <t xml:space="preserve"> Практическая работа №3</t>
    </r>
    <r>
      <rPr>
        <sz val="10"/>
        <color theme="1"/>
        <rFont val="Arial"/>
      </rPr>
      <t xml:space="preserve"> Проектирование по темам: "Продажа товара", "Сад" (excel), нормальные формы</t>
    </r>
  </si>
  <si>
    <r>
      <rPr>
        <b/>
        <i/>
        <sz val="10"/>
        <color rgb="FF000000"/>
        <rFont val="Arial"/>
      </rPr>
      <t>Лабораторная работа №3</t>
    </r>
    <r>
      <rPr>
        <b/>
        <i/>
        <sz val="10"/>
        <color rgb="FF000000"/>
        <rFont val="Arial"/>
      </rPr>
      <t xml:space="preserve"> Разработка форм, отчетов по вариативной БД</t>
    </r>
  </si>
  <si>
    <r>
      <rPr>
        <b/>
        <i/>
        <sz val="10"/>
        <color rgb="FF000000"/>
        <rFont val="Arial"/>
      </rPr>
      <t>Лабораторная работа №3</t>
    </r>
    <r>
      <rPr>
        <b/>
        <i/>
        <sz val="10"/>
        <color rgb="FF000000"/>
        <rFont val="Arial"/>
      </rPr>
      <t xml:space="preserve"> Разработка форм, отчетов по вариативной БД</t>
    </r>
  </si>
  <si>
    <t>Разработка БД разными способами</t>
  </si>
  <si>
    <t>Сам.работа Работа с БД, реализация запросов</t>
  </si>
  <si>
    <r>
      <rPr>
        <b/>
        <i/>
        <sz val="10"/>
        <color rgb="FF000000"/>
        <rFont val="Arial"/>
      </rPr>
      <t>Лабораторная работа №4</t>
    </r>
    <r>
      <rPr>
        <b/>
        <i/>
        <sz val="10"/>
        <color rgb="FF000000"/>
        <rFont val="Arial"/>
      </rPr>
      <t xml:space="preserve"> Разработка отчетной документации. Сдача вариативной работы</t>
    </r>
  </si>
  <si>
    <r>
      <rPr>
        <b/>
        <i/>
        <sz val="10"/>
        <color rgb="FF000000"/>
        <rFont val="Arial"/>
      </rPr>
      <t>Лабораторная работа №4</t>
    </r>
    <r>
      <rPr>
        <b/>
        <i/>
        <sz val="10"/>
        <color rgb="FF000000"/>
        <rFont val="Arial"/>
      </rPr>
      <t xml:space="preserve"> Разработка отчетной документации. Сдача вариативной работы</t>
    </r>
  </si>
  <si>
    <t>Работа с запросами, формами</t>
  </si>
  <si>
    <t>Разработка БД, элементы управления</t>
  </si>
  <si>
    <t xml:space="preserve"> Работа с формами                                                         </t>
  </si>
  <si>
    <t>Разработка Главной кнопочной формы, элементы управления</t>
  </si>
  <si>
    <r>
      <rPr>
        <b/>
        <sz val="10"/>
        <color theme="1"/>
        <rFont val="Arial"/>
      </rPr>
      <t xml:space="preserve">Практическая работа №4 </t>
    </r>
    <r>
      <rPr>
        <sz val="10"/>
        <color theme="1"/>
        <rFont val="Arial"/>
      </rPr>
      <t xml:space="preserve">Работа в среде Access. Запросы                                                    </t>
    </r>
  </si>
  <si>
    <r>
      <rPr>
        <b/>
        <sz val="10"/>
        <color theme="1"/>
        <rFont val="Arial"/>
      </rPr>
      <t xml:space="preserve">Практическая работа №4 </t>
    </r>
    <r>
      <rPr>
        <sz val="10"/>
        <color theme="1"/>
        <rFont val="Arial"/>
      </rPr>
      <t>Работа в среде Access. Проектирование интерфейса, отчеты</t>
    </r>
  </si>
  <si>
    <t>Элементы языка SQL, запросы в форме SQL</t>
  </si>
  <si>
    <r>
      <rPr>
        <b/>
        <sz val="10"/>
        <color rgb="FF000000"/>
        <rFont val="Arial"/>
      </rPr>
      <t xml:space="preserve">Практическая работа №5 </t>
    </r>
    <r>
      <rPr>
        <sz val="10"/>
        <color rgb="FF000000"/>
        <rFont val="Arial"/>
      </rPr>
      <t xml:space="preserve"> Разработка запросов различного вида                    </t>
    </r>
  </si>
  <si>
    <r>
      <rPr>
        <b/>
        <sz val="10"/>
        <color theme="1"/>
        <rFont val="Arial"/>
      </rPr>
      <t xml:space="preserve">Практическая работа №5 </t>
    </r>
    <r>
      <rPr>
        <sz val="10"/>
        <color theme="1"/>
        <rFont val="Arial"/>
      </rPr>
      <t>Проектирование информационных запросов, интерфейс логического выполнения функции БД по темам выше</t>
    </r>
  </si>
  <si>
    <r>
      <rPr>
        <b/>
        <sz val="10"/>
        <color theme="1"/>
        <rFont val="Arial"/>
      </rPr>
      <t xml:space="preserve">Практическая работа №6 </t>
    </r>
    <r>
      <rPr>
        <sz val="10"/>
        <color theme="1"/>
        <rFont val="Arial"/>
      </rPr>
      <t xml:space="preserve">Разработка форм: Главная, основная, подчиненная      </t>
    </r>
  </si>
  <si>
    <r>
      <rPr>
        <b/>
        <sz val="10"/>
        <color theme="1"/>
        <rFont val="Arial"/>
      </rPr>
      <t>Практическая работа №6</t>
    </r>
    <r>
      <rPr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Проектирование отчетов, интерфейс приложения по темам выше </t>
    </r>
  </si>
  <si>
    <t>Организация запросов на корректировку данных при помощи языка SQL.</t>
  </si>
  <si>
    <t>Контрольная работа</t>
  </si>
  <si>
    <r>
      <rPr>
        <b/>
        <sz val="10"/>
        <color theme="1"/>
        <rFont val="Arial"/>
      </rPr>
      <t>Практическая работа №7</t>
    </r>
    <r>
      <rPr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Работа с запросами в режиме SQL                                               </t>
    </r>
  </si>
  <si>
    <r>
      <rPr>
        <b/>
        <sz val="10"/>
        <color theme="1"/>
        <rFont val="Arial"/>
      </rPr>
      <t>Практическая работа №7</t>
    </r>
    <r>
      <rPr>
        <sz val="10"/>
        <color theme="1"/>
        <rFont val="Arial"/>
      </rPr>
      <t xml:space="preserve"> </t>
    </r>
    <r>
      <rPr>
        <sz val="10"/>
        <color theme="1"/>
        <rFont val="Arial"/>
      </rPr>
      <t>Проектирование информационных запросов в режиме SQL по темам выше</t>
    </r>
  </si>
  <si>
    <t>Анализ вариативных работ</t>
  </si>
  <si>
    <r>
      <rPr>
        <sz val="10"/>
        <color theme="1"/>
        <rFont val="Arial"/>
      </rPr>
      <t xml:space="preserve">Анализ вариативных работ                                                                      </t>
    </r>
    <r>
      <rPr>
        <sz val="10"/>
        <color rgb="FFFF0000"/>
        <rFont val="Arial"/>
      </rPr>
      <t xml:space="preserve">     </t>
    </r>
    <r>
      <rPr>
        <b/>
        <sz val="10"/>
        <color rgb="FFFF0000"/>
        <rFont val="Arial"/>
      </rPr>
      <t xml:space="preserve"> </t>
    </r>
  </si>
  <si>
    <t>Организация запросов в форме SQL</t>
  </si>
  <si>
    <t>Механизмы защиты БД</t>
  </si>
  <si>
    <t xml:space="preserve"> Работа с запросами в режиме SQL   </t>
  </si>
  <si>
    <t>Диф.зачет Тестирование. Организация запросов в форме SQL, оператор Selekt</t>
  </si>
  <si>
    <t>Диф.зачет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</si>
</sst>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\.mm\.yyyy"/>
    <numFmt numFmtId="165" formatCode="dd\.mm"/>
    <numFmt numFmtId="166" formatCode="d\.m"/>
    <numFmt numFmtId="167" formatCode="dd\.mm\."/>
  </numFmts>
  <fonts count="29">
    <font>
      <sz val="10"/>
      <color rgb="FF000000"/>
      <name val="Arial"/>
      <scheme val="minor"/>
    </font>
    <font>
      <sz val="10"/>
      <color theme="1"/>
      <name val="Arial"/>
    </font>
    <font>
      <sz val="10"/>
      <color rgb="FFFF0000"/>
      <name val="Arial"/>
    </font>
    <font>
      <b/>
      <sz val="10"/>
      <color theme="1"/>
      <name val="Arial"/>
    </font>
    <font>
      <b/>
      <sz val="14"/>
      <color theme="1"/>
      <name val="Arial"/>
    </font>
    <font>
      <sz val="10"/>
      <name val="Arial"/>
    </font>
    <font>
      <sz val="9"/>
      <color rgb="FFFF0000"/>
      <name val="Arial"/>
    </font>
    <font>
      <sz val="12"/>
      <color rgb="FFFF0000"/>
      <name val="Arial"/>
    </font>
    <font>
      <sz val="11"/>
      <color theme="1"/>
      <name val="Arial"/>
    </font>
    <font>
      <b/>
      <sz val="10"/>
      <color rgb="FFFF0000"/>
      <name val="Arial"/>
    </font>
    <font>
      <sz val="10"/>
      <color theme="1"/>
      <name val="Arial"/>
      <scheme val="minor"/>
    </font>
    <font>
      <b/>
      <sz val="12"/>
      <color rgb="FFFF0000"/>
      <name val="Arial"/>
    </font>
    <font>
      <sz val="12"/>
      <color rgb="FF000000"/>
      <name val="&quot;Times New Roman&quot;"/>
    </font>
    <font>
      <b/>
      <sz val="12"/>
      <color theme="1"/>
      <name val="Arial"/>
    </font>
    <font>
      <b/>
      <sz val="11"/>
      <color theme="1"/>
      <name val="Arial"/>
    </font>
    <font>
      <b/>
      <sz val="13"/>
      <color rgb="FFFF0000"/>
      <name val="Arial"/>
    </font>
    <font>
      <b/>
      <sz val="11"/>
      <color rgb="FFFF0000"/>
      <name val="Arial"/>
    </font>
    <font>
      <b/>
      <sz val="13"/>
      <color theme="1"/>
      <name val="Arial"/>
    </font>
    <font>
      <sz val="10"/>
      <color rgb="FF000000"/>
      <name val="Arial"/>
    </font>
    <font>
      <sz val="10"/>
      <color theme="0"/>
      <name val="Arial"/>
    </font>
    <font>
      <sz val="12"/>
      <color theme="0"/>
      <name val="Arial"/>
    </font>
    <font>
      <sz val="10"/>
      <color theme="1"/>
      <name val="Arial"/>
    </font>
    <font>
      <b/>
      <sz val="12"/>
      <color rgb="FFCC0000"/>
      <name val="Arial"/>
    </font>
    <font>
      <b/>
      <sz val="14"/>
      <color rgb="FFCC0000"/>
      <name val="Arial"/>
    </font>
    <font>
      <sz val="10"/>
      <color theme="1"/>
      <name val="Arial"/>
      <scheme val="minor"/>
    </font>
    <font>
      <b/>
      <i/>
      <sz val="10"/>
      <color theme="1"/>
      <name val="Arial"/>
    </font>
    <font>
      <b/>
      <i/>
      <sz val="10"/>
      <color rgb="FF000000"/>
      <name val="Arial"/>
    </font>
    <font>
      <b/>
      <sz val="10"/>
      <color rgb="FFFF0000"/>
      <name val="Arial"/>
    </font>
    <font>
      <b/>
      <sz val="10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6FA8DC"/>
        <bgColor rgb="FF6FA8DC"/>
      </patternFill>
    </fill>
    <fill>
      <patternFill patternType="solid">
        <fgColor rgb="FF356854"/>
        <bgColor rgb="FF35685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6F8F9"/>
        <bgColor rgb="FFF6F8F9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969696"/>
      </right>
      <top/>
      <bottom style="thin">
        <color rgb="FF969696"/>
      </bottom>
      <diagonal/>
    </border>
  </borders>
  <cellStyleXfs count="1">
    <xf numFmtId="0" fontId="0" fillId="0" borderId="0"/>
  </cellStyleXfs>
  <cellXfs count="21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8" fillId="9" borderId="1" xfId="0" applyNumberFormat="1" applyFont="1" applyFill="1" applyBorder="1" applyAlignment="1">
      <alignment horizontal="right" vertical="center"/>
    </xf>
    <xf numFmtId="164" fontId="1" fillId="10" borderId="1" xfId="0" applyNumberFormat="1" applyFont="1" applyFill="1" applyBorder="1" applyAlignment="1">
      <alignment horizontal="right" vertical="center"/>
    </xf>
    <xf numFmtId="165" fontId="9" fillId="9" borderId="1" xfId="0" applyNumberFormat="1" applyFont="1" applyFill="1" applyBorder="1" applyAlignment="1">
      <alignment horizontal="right" vertical="center"/>
    </xf>
    <xf numFmtId="166" fontId="9" fillId="9" borderId="1" xfId="0" applyNumberFormat="1" applyFont="1" applyFill="1" applyBorder="1" applyAlignment="1">
      <alignment horizontal="right" vertical="center"/>
    </xf>
    <xf numFmtId="164" fontId="1" fillId="9" borderId="1" xfId="0" applyNumberFormat="1" applyFont="1" applyFill="1" applyBorder="1" applyAlignment="1">
      <alignment horizontal="right" vertical="center"/>
    </xf>
    <xf numFmtId="164" fontId="9" fillId="9" borderId="1" xfId="0" applyNumberFormat="1" applyFont="1" applyFill="1" applyBorder="1" applyAlignment="1">
      <alignment horizontal="right" vertical="center"/>
    </xf>
    <xf numFmtId="165" fontId="1" fillId="10" borderId="1" xfId="0" applyNumberFormat="1" applyFont="1" applyFill="1" applyBorder="1" applyAlignment="1">
      <alignment horizontal="right" vertical="center"/>
    </xf>
    <xf numFmtId="166" fontId="1" fillId="9" borderId="1" xfId="0" applyNumberFormat="1" applyFont="1" applyFill="1" applyBorder="1" applyAlignment="1">
      <alignment horizontal="right" vertical="center"/>
    </xf>
    <xf numFmtId="0" fontId="1" fillId="9" borderId="1" xfId="0" applyFont="1" applyFill="1" applyBorder="1" applyAlignment="1">
      <alignment horizontal="right" vertical="center"/>
    </xf>
    <xf numFmtId="165" fontId="1" fillId="9" borderId="1" xfId="0" applyNumberFormat="1" applyFont="1" applyFill="1" applyBorder="1" applyAlignment="1">
      <alignment horizontal="right" vertical="center"/>
    </xf>
    <xf numFmtId="166" fontId="9" fillId="9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right" vertical="center"/>
    </xf>
    <xf numFmtId="165" fontId="10" fillId="9" borderId="1" xfId="0" applyNumberFormat="1" applyFont="1" applyFill="1" applyBorder="1" applyAlignment="1">
      <alignment horizontal="right"/>
    </xf>
    <xf numFmtId="165" fontId="10" fillId="9" borderId="1" xfId="0" applyNumberFormat="1" applyFont="1" applyFill="1" applyBorder="1" applyAlignment="1">
      <alignment horizontal="center"/>
    </xf>
    <xf numFmtId="0" fontId="10" fillId="9" borderId="1" xfId="0" applyFont="1" applyFill="1" applyBorder="1" applyAlignment="1">
      <alignment horizontal="right"/>
    </xf>
    <xf numFmtId="166" fontId="11" fillId="9" borderId="1" xfId="0" applyNumberFormat="1" applyFont="1" applyFill="1" applyBorder="1" applyAlignment="1">
      <alignment horizontal="right" vertical="center"/>
    </xf>
    <xf numFmtId="49" fontId="12" fillId="11" borderId="1" xfId="0" applyNumberFormat="1" applyFont="1" applyFill="1" applyBorder="1" applyAlignment="1"/>
    <xf numFmtId="0" fontId="1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0" fillId="11" borderId="1" xfId="0" applyFont="1" applyFill="1" applyBorder="1"/>
    <xf numFmtId="0" fontId="10" fillId="11" borderId="1" xfId="0" applyFont="1" applyFill="1" applyBorder="1" applyAlignment="1">
      <alignment horizontal="center"/>
    </xf>
    <xf numFmtId="49" fontId="12" fillId="9" borderId="1" xfId="0" applyNumberFormat="1" applyFont="1" applyFill="1" applyBorder="1" applyAlignment="1"/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0" fillId="9" borderId="1" xfId="0" applyFont="1" applyFill="1" applyBorder="1"/>
    <xf numFmtId="0" fontId="10" fillId="9" borderId="1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vertical="center"/>
    </xf>
    <xf numFmtId="49" fontId="3" fillId="11" borderId="1" xfId="0" applyNumberFormat="1" applyFont="1" applyFill="1" applyBorder="1" applyAlignment="1">
      <alignment horizontal="right" vertical="center"/>
    </xf>
    <xf numFmtId="0" fontId="1" fillId="11" borderId="1" xfId="0" applyFont="1" applyFill="1" applyBorder="1" applyAlignment="1">
      <alignment vertical="center"/>
    </xf>
    <xf numFmtId="49" fontId="14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vertical="center"/>
    </xf>
    <xf numFmtId="49" fontId="9" fillId="11" borderId="1" xfId="0" applyNumberFormat="1" applyFont="1" applyFill="1" applyBorder="1" applyAlignment="1">
      <alignment horizontal="right" vertical="center"/>
    </xf>
    <xf numFmtId="0" fontId="15" fillId="11" borderId="1" xfId="0" applyFont="1" applyFill="1" applyBorder="1" applyAlignment="1">
      <alignment horizontal="center" vertical="center"/>
    </xf>
    <xf numFmtId="49" fontId="9" fillId="9" borderId="1" xfId="0" applyNumberFormat="1" applyFont="1" applyFill="1" applyBorder="1" applyAlignment="1">
      <alignment horizontal="right" vertical="center"/>
    </xf>
    <xf numFmtId="0" fontId="15" fillId="9" borderId="1" xfId="0" applyFont="1" applyFill="1" applyBorder="1" applyAlignment="1">
      <alignment horizontal="center" vertical="center"/>
    </xf>
    <xf numFmtId="49" fontId="14" fillId="9" borderId="1" xfId="0" applyNumberFormat="1" applyFont="1" applyFill="1" applyBorder="1" applyAlignment="1">
      <alignment vertical="center"/>
    </xf>
    <xf numFmtId="49" fontId="16" fillId="11" borderId="1" xfId="0" applyNumberFormat="1" applyFont="1" applyFill="1" applyBorder="1" applyAlignment="1">
      <alignment vertical="center"/>
    </xf>
    <xf numFmtId="49" fontId="16" fillId="9" borderId="1" xfId="0" applyNumberFormat="1" applyFont="1" applyFill="1" applyBorder="1" applyAlignment="1">
      <alignment vertical="center"/>
    </xf>
    <xf numFmtId="49" fontId="17" fillId="9" borderId="1" xfId="0" applyNumberFormat="1" applyFont="1" applyFill="1" applyBorder="1" applyAlignment="1">
      <alignment horizontal="center" vertical="center" wrapText="1"/>
    </xf>
    <xf numFmtId="49" fontId="17" fillId="11" borderId="1" xfId="0" applyNumberFormat="1" applyFont="1" applyFill="1" applyBorder="1" applyAlignment="1">
      <alignment horizontal="center" vertical="center" wrapText="1"/>
    </xf>
    <xf numFmtId="49" fontId="1" fillId="9" borderId="1" xfId="0" applyNumberFormat="1" applyFont="1" applyFill="1" applyBorder="1" applyAlignment="1">
      <alignment vertical="center"/>
    </xf>
    <xf numFmtId="49" fontId="1" fillId="11" borderId="1" xfId="0" applyNumberFormat="1" applyFont="1" applyFill="1" applyBorder="1" applyAlignment="1">
      <alignment vertical="center"/>
    </xf>
    <xf numFmtId="49" fontId="3" fillId="9" borderId="1" xfId="0" applyNumberFormat="1" applyFont="1" applyFill="1" applyBorder="1" applyAlignment="1">
      <alignment horizontal="right" vertical="center"/>
    </xf>
    <xf numFmtId="49" fontId="13" fillId="11" borderId="1" xfId="0" applyNumberFormat="1" applyFont="1" applyFill="1" applyBorder="1" applyAlignment="1">
      <alignment horizontal="right" vertical="center" wrapText="1"/>
    </xf>
    <xf numFmtId="49" fontId="1" fillId="9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 wrapText="1"/>
    </xf>
    <xf numFmtId="49" fontId="1" fillId="11" borderId="1" xfId="0" applyNumberFormat="1" applyFont="1" applyFill="1" applyBorder="1" applyAlignment="1">
      <alignment horizontal="center" vertical="center" wrapText="1"/>
    </xf>
    <xf numFmtId="0" fontId="18" fillId="9" borderId="5" xfId="0" applyFont="1" applyFill="1" applyBorder="1"/>
    <xf numFmtId="0" fontId="18" fillId="9" borderId="6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/>
    </xf>
    <xf numFmtId="0" fontId="18" fillId="9" borderId="7" xfId="0" applyFont="1" applyFill="1" applyBorder="1"/>
    <xf numFmtId="0" fontId="18" fillId="0" borderId="1" xfId="0" applyFont="1" applyBorder="1"/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left" vertical="center" wrapText="1"/>
    </xf>
    <xf numFmtId="49" fontId="1" fillId="0" borderId="9" xfId="0" applyNumberFormat="1" applyFont="1" applyBorder="1" applyAlignment="1">
      <alignment vertical="center" wrapText="1"/>
    </xf>
    <xf numFmtId="49" fontId="1" fillId="0" borderId="9" xfId="0" applyNumberFormat="1" applyFont="1" applyBorder="1" applyAlignment="1">
      <alignment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0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2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49" fontId="22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vertical="center"/>
    </xf>
    <xf numFmtId="49" fontId="1" fillId="0" borderId="11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49" fontId="1" fillId="0" borderId="14" xfId="0" applyNumberFormat="1" applyFont="1" applyBorder="1" applyAlignment="1">
      <alignment vertical="center"/>
    </xf>
    <xf numFmtId="49" fontId="1" fillId="0" borderId="15" xfId="0" applyNumberFormat="1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49" fontId="1" fillId="0" borderId="17" xfId="0" applyNumberFormat="1" applyFont="1" applyBorder="1" applyAlignment="1">
      <alignment vertical="center"/>
    </xf>
    <xf numFmtId="49" fontId="1" fillId="0" borderId="18" xfId="0" applyNumberFormat="1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8" fillId="3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3" fillId="0" borderId="0" xfId="0" applyFont="1" applyAlignment="1"/>
    <xf numFmtId="0" fontId="1" fillId="0" borderId="0" xfId="0" applyFont="1"/>
    <xf numFmtId="0" fontId="3" fillId="0" borderId="0" xfId="0" applyFont="1"/>
    <xf numFmtId="0" fontId="1" fillId="3" borderId="1" xfId="0" applyFont="1" applyFill="1" applyBorder="1"/>
    <xf numFmtId="0" fontId="9" fillId="9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12" borderId="1" xfId="0" applyFont="1" applyFill="1" applyBorder="1"/>
    <xf numFmtId="0" fontId="3" fillId="9" borderId="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center" vertical="top"/>
    </xf>
    <xf numFmtId="0" fontId="1" fillId="5" borderId="1" xfId="0" applyFont="1" applyFill="1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/>
    <xf numFmtId="0" fontId="1" fillId="0" borderId="1" xfId="0" applyFont="1" applyBorder="1"/>
    <xf numFmtId="0" fontId="1" fillId="2" borderId="20" xfId="0" applyFont="1" applyFill="1" applyBorder="1" applyAlignment="1">
      <alignment horizontal="center" vertical="top"/>
    </xf>
    <xf numFmtId="164" fontId="1" fillId="9" borderId="1" xfId="0" applyNumberFormat="1" applyFont="1" applyFill="1" applyBorder="1" applyAlignment="1">
      <alignment horizontal="left" vertical="top" wrapText="1"/>
    </xf>
    <xf numFmtId="0" fontId="1" fillId="9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 vertical="top"/>
    </xf>
    <xf numFmtId="164" fontId="1" fillId="9" borderId="1" xfId="0" applyNumberFormat="1" applyFont="1" applyFill="1" applyBorder="1" applyAlignment="1">
      <alignment horizontal="left" vertical="top" wrapText="1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1" fillId="9" borderId="21" xfId="0" applyFont="1" applyFill="1" applyBorder="1" applyAlignment="1">
      <alignment horizontal="left" vertical="top" wrapText="1"/>
    </xf>
    <xf numFmtId="0" fontId="1" fillId="13" borderId="20" xfId="0" applyFont="1" applyFill="1" applyBorder="1" applyAlignment="1">
      <alignment horizontal="center" vertical="top"/>
    </xf>
    <xf numFmtId="164" fontId="9" fillId="9" borderId="1" xfId="0" applyNumberFormat="1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right" vertical="top" wrapText="1"/>
    </xf>
    <xf numFmtId="165" fontId="1" fillId="0" borderId="1" xfId="0" applyNumberFormat="1" applyFont="1" applyBorder="1" applyAlignment="1">
      <alignment horizontal="center"/>
    </xf>
    <xf numFmtId="0" fontId="1" fillId="10" borderId="20" xfId="0" applyFont="1" applyFill="1" applyBorder="1" applyAlignment="1">
      <alignment horizontal="center" vertical="top"/>
    </xf>
    <xf numFmtId="164" fontId="3" fillId="10" borderId="1" xfId="0" applyNumberFormat="1" applyFont="1" applyFill="1" applyBorder="1" applyAlignment="1">
      <alignment horizontal="left" vertical="top" wrapText="1"/>
    </xf>
    <xf numFmtId="0" fontId="1" fillId="10" borderId="1" xfId="0" applyFont="1" applyFill="1" applyBorder="1" applyAlignment="1">
      <alignment horizontal="left" vertical="top" wrapText="1"/>
    </xf>
    <xf numFmtId="0" fontId="18" fillId="3" borderId="0" xfId="0" applyFont="1" applyFill="1" applyAlignment="1">
      <alignment horizontal="center"/>
    </xf>
    <xf numFmtId="0" fontId="24" fillId="3" borderId="0" xfId="0" applyFont="1" applyFill="1" applyAlignment="1">
      <alignment horizontal="center"/>
    </xf>
    <xf numFmtId="0" fontId="1" fillId="2" borderId="20" xfId="0" applyFont="1" applyFill="1" applyBorder="1" applyAlignment="1">
      <alignment horizontal="center" vertical="top"/>
    </xf>
    <xf numFmtId="166" fontId="1" fillId="0" borderId="0" xfId="0" applyNumberFormat="1" applyFont="1"/>
    <xf numFmtId="164" fontId="9" fillId="9" borderId="1" xfId="0" applyNumberFormat="1" applyFont="1" applyFill="1" applyBorder="1" applyAlignment="1">
      <alignment horizontal="left" vertical="top" wrapText="1"/>
    </xf>
    <xf numFmtId="0" fontId="1" fillId="0" borderId="1" xfId="0" applyFont="1" applyBorder="1" applyAlignment="1">
      <alignment wrapText="1"/>
    </xf>
    <xf numFmtId="0" fontId="1" fillId="5" borderId="20" xfId="0" applyFont="1" applyFill="1" applyBorder="1" applyAlignment="1">
      <alignment horizontal="center" vertical="top"/>
    </xf>
    <xf numFmtId="0" fontId="25" fillId="5" borderId="1" xfId="0" applyFont="1" applyFill="1" applyBorder="1" applyAlignment="1">
      <alignment horizontal="left" vertical="top" wrapText="1"/>
    </xf>
    <xf numFmtId="0" fontId="25" fillId="5" borderId="1" xfId="0" applyFont="1" applyFill="1" applyBorder="1" applyAlignment="1">
      <alignment horizontal="right" vertical="top" wrapText="1"/>
    </xf>
    <xf numFmtId="164" fontId="25" fillId="5" borderId="1" xfId="0" applyNumberFormat="1" applyFont="1" applyFill="1" applyBorder="1" applyAlignment="1">
      <alignment horizontal="left" vertical="top" wrapText="1"/>
    </xf>
    <xf numFmtId="0" fontId="1" fillId="9" borderId="0" xfId="0" applyFont="1" applyFill="1" applyAlignment="1">
      <alignment horizontal="left" vertical="top" wrapText="1"/>
    </xf>
    <xf numFmtId="0" fontId="1" fillId="10" borderId="2" xfId="0" applyFont="1" applyFill="1" applyBorder="1" applyAlignment="1">
      <alignment horizontal="center" vertical="top"/>
    </xf>
    <xf numFmtId="164" fontId="1" fillId="10" borderId="1" xfId="0" applyNumberFormat="1" applyFont="1" applyFill="1" applyBorder="1" applyAlignment="1">
      <alignment horizontal="left" vertical="top" wrapText="1"/>
    </xf>
    <xf numFmtId="0" fontId="1" fillId="10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wrapText="1"/>
    </xf>
    <xf numFmtId="0" fontId="1" fillId="5" borderId="2" xfId="0" applyFont="1" applyFill="1" applyBorder="1" applyAlignment="1">
      <alignment horizontal="center" vertical="top"/>
    </xf>
    <xf numFmtId="0" fontId="25" fillId="5" borderId="1" xfId="0" applyFont="1" applyFill="1" applyBorder="1" applyAlignment="1">
      <alignment horizontal="right" wrapText="1"/>
    </xf>
    <xf numFmtId="0" fontId="3" fillId="10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right"/>
    </xf>
    <xf numFmtId="0" fontId="1" fillId="3" borderId="0" xfId="0" applyFont="1" applyFill="1" applyAlignment="1">
      <alignment vertical="center" wrapText="1"/>
    </xf>
    <xf numFmtId="0" fontId="26" fillId="5" borderId="1" xfId="0" applyFont="1" applyFill="1" applyBorder="1" applyAlignment="1">
      <alignment horizontal="right" vertical="top" wrapText="1"/>
    </xf>
    <xf numFmtId="0" fontId="26" fillId="5" borderId="1" xfId="0" applyFont="1" applyFill="1" applyBorder="1" applyAlignment="1">
      <alignment horizontal="right" vertical="top" wrapText="1"/>
    </xf>
    <xf numFmtId="0" fontId="1" fillId="13" borderId="20" xfId="0" applyFont="1" applyFill="1" applyBorder="1" applyAlignment="1">
      <alignment horizontal="center" vertical="top"/>
    </xf>
    <xf numFmtId="0" fontId="21" fillId="0" borderId="0" xfId="0" applyFont="1"/>
    <xf numFmtId="165" fontId="1" fillId="0" borderId="0" xfId="0" applyNumberFormat="1" applyFont="1"/>
    <xf numFmtId="0" fontId="1" fillId="3" borderId="20" xfId="0" applyFont="1" applyFill="1" applyBorder="1" applyAlignment="1">
      <alignment horizontal="center" vertical="top"/>
    </xf>
    <xf numFmtId="0" fontId="27" fillId="0" borderId="1" xfId="0" applyFont="1" applyBorder="1" applyAlignment="1">
      <alignment horizontal="right"/>
    </xf>
    <xf numFmtId="0" fontId="26" fillId="5" borderId="22" xfId="0" applyFont="1" applyFill="1" applyBorder="1" applyAlignment="1">
      <alignment horizontal="right" vertical="top" wrapText="1"/>
    </xf>
    <xf numFmtId="0" fontId="26" fillId="5" borderId="6" xfId="0" applyFont="1" applyFill="1" applyBorder="1" applyAlignment="1">
      <alignment horizontal="right" vertical="top" wrapText="1"/>
    </xf>
    <xf numFmtId="0" fontId="10" fillId="0" borderId="1" xfId="0" applyFont="1" applyBorder="1" applyAlignment="1"/>
    <xf numFmtId="0" fontId="21" fillId="0" borderId="1" xfId="0" applyFont="1" applyBorder="1" applyAlignment="1"/>
    <xf numFmtId="0" fontId="21" fillId="0" borderId="1" xfId="0" applyFont="1" applyBorder="1"/>
    <xf numFmtId="0" fontId="1" fillId="10" borderId="20" xfId="0" applyFont="1" applyFill="1" applyBorder="1" applyAlignment="1">
      <alignment horizontal="center" vertical="top"/>
    </xf>
    <xf numFmtId="0" fontId="1" fillId="10" borderId="1" xfId="0" applyFont="1" applyFill="1" applyBorder="1" applyAlignment="1">
      <alignment vertical="center" wrapText="1"/>
    </xf>
    <xf numFmtId="0" fontId="1" fillId="9" borderId="23" xfId="0" applyFont="1" applyFill="1" applyBorder="1" applyAlignment="1">
      <alignment horizontal="left" vertical="top" wrapText="1"/>
    </xf>
    <xf numFmtId="0" fontId="18" fillId="10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horizontal="right" vertical="top" wrapText="1"/>
    </xf>
    <xf numFmtId="0" fontId="18" fillId="9" borderId="0" xfId="0" applyFont="1" applyFill="1" applyAlignment="1">
      <alignment horizontal="right" vertical="top" wrapText="1"/>
    </xf>
    <xf numFmtId="0" fontId="3" fillId="9" borderId="0" xfId="0" applyFont="1" applyFill="1" applyAlignment="1">
      <alignment horizontal="right" vertical="top" wrapText="1"/>
    </xf>
    <xf numFmtId="0" fontId="1" fillId="10" borderId="2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top"/>
    </xf>
    <xf numFmtId="0" fontId="1" fillId="9" borderId="6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right"/>
    </xf>
    <xf numFmtId="0" fontId="1" fillId="0" borderId="0" xfId="0" applyFont="1" applyAlignment="1">
      <alignment horizontal="left" vertical="top" wrapText="1"/>
    </xf>
    <xf numFmtId="0" fontId="13" fillId="11" borderId="2" xfId="0" applyFont="1" applyFill="1" applyBorder="1" applyAlignment="1">
      <alignment horizontal="center" vertical="center"/>
    </xf>
    <xf numFmtId="0" fontId="5" fillId="11" borderId="3" xfId="0" applyFont="1" applyFill="1" applyBorder="1"/>
    <xf numFmtId="0" fontId="5" fillId="11" borderId="4" xfId="0" applyFont="1" applyFill="1" applyBorder="1"/>
    <xf numFmtId="0" fontId="11" fillId="11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5" fillId="9" borderId="3" xfId="0" applyFont="1" applyFill="1" applyBorder="1"/>
    <xf numFmtId="0" fontId="5" fillId="9" borderId="4" xfId="0" applyFont="1" applyFill="1" applyBorder="1"/>
    <xf numFmtId="0" fontId="4" fillId="6" borderId="2" xfId="0" applyFont="1" applyFill="1" applyBorder="1" applyAlignment="1">
      <alignment vertical="center" wrapText="1"/>
    </xf>
    <xf numFmtId="0" fontId="5" fillId="7" borderId="3" xfId="0" applyFont="1" applyFill="1" applyBorder="1" applyAlignment="1"/>
    <xf numFmtId="0" fontId="5" fillId="7" borderId="4" xfId="0" applyFont="1" applyFill="1" applyBorder="1" applyAlignment="1"/>
    <xf numFmtId="0" fontId="1" fillId="12" borderId="0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9" borderId="0" xfId="0" applyFont="1" applyFill="1" applyBorder="1" applyAlignment="1">
      <alignment horizontal="center" vertical="center"/>
    </xf>
  </cellXfs>
  <cellStyles count="1">
    <cellStyle name="Обычный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Чек-лист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_2" displayName="Table_2" ref="A1:N16">
  <tableColumns count="14">
    <tableColumn id="1" name="Вопросы уроков (1-3)"/>
    <tableColumn id="2" name="ДЗ_1-3 по учебнику"/>
    <tableColumn id="3" name="ИТОГ                   (4 урок)"/>
    <tableColumn id="4" name="Вопросы уроков (5-7)"/>
    <tableColumn id="5" name="ДЗ_5-7 по учебнику"/>
    <tableColumn id="6" name="ИТОГ              (8 урок)"/>
    <tableColumn id="7" name="Вопросы уроков (9-11)"/>
    <tableColumn id="8" name="ДЗ_9-11 по учебнику"/>
    <tableColumn id="9" name="ИТОГ             (12 урок)"/>
    <tableColumn id="10" name="Вопросы уроков (13-15)"/>
    <tableColumn id="11" name="ДЗ_13-15 по учебнику"/>
    <tableColumn id="12" name="ИТОГ              (16 урок)"/>
    <tableColumn id="13" name="Темы Практических работ"/>
    <tableColumn id="14" name="Темы Лабораторных работ"/>
  </tableColumns>
  <tableStyleInfo name="Чек-лист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U10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3" sqref="B13"/>
    </sheetView>
  </sheetViews>
  <sheetFormatPr defaultColWidth="12.5703125" defaultRowHeight="15" customHeight="1"/>
  <cols>
    <col min="1" max="1" width="19.7109375" customWidth="1"/>
    <col min="2" max="2" width="10.140625" customWidth="1"/>
    <col min="3" max="3" width="5.28515625" customWidth="1"/>
    <col min="4" max="4" width="4.85546875" customWidth="1"/>
    <col min="5" max="5" width="5.28515625" customWidth="1"/>
    <col min="6" max="6" width="6.42578125" customWidth="1"/>
    <col min="7" max="7" width="5.42578125" customWidth="1"/>
    <col min="8" max="8" width="5" customWidth="1"/>
    <col min="9" max="9" width="5.140625" customWidth="1"/>
    <col min="10" max="10" width="5.28515625" customWidth="1"/>
    <col min="11" max="11" width="7" customWidth="1"/>
    <col min="12" max="12" width="5.28515625" customWidth="1"/>
    <col min="13" max="15" width="5.140625" customWidth="1"/>
    <col min="16" max="16" width="7.42578125" customWidth="1"/>
    <col min="17" max="17" width="4.7109375" customWidth="1"/>
    <col min="18" max="18" width="5.140625" customWidth="1"/>
    <col min="19" max="19" width="5" customWidth="1"/>
    <col min="20" max="20" width="4.85546875" customWidth="1"/>
    <col min="21" max="21" width="6.7109375" customWidth="1"/>
    <col min="22" max="22" width="5.140625" customWidth="1"/>
    <col min="23" max="23" width="5.28515625" customWidth="1"/>
    <col min="24" max="24" width="5" customWidth="1"/>
    <col min="25" max="25" width="5.140625" customWidth="1"/>
    <col min="26" max="26" width="5.42578125" customWidth="1"/>
    <col min="27" max="27" width="5.5703125" customWidth="1"/>
    <col min="28" max="28" width="5.42578125" customWidth="1"/>
    <col min="29" max="29" width="10.140625" customWidth="1"/>
    <col min="30" max="30" width="11.140625" customWidth="1"/>
    <col min="31" max="32" width="9.7109375" customWidth="1"/>
    <col min="33" max="35" width="5.28515625" customWidth="1"/>
    <col min="36" max="36" width="5.140625" customWidth="1"/>
    <col min="37" max="37" width="5" customWidth="1"/>
    <col min="38" max="38" width="7.7109375" customWidth="1"/>
    <col min="39" max="39" width="7.85546875" customWidth="1"/>
    <col min="40" max="40" width="8.140625" customWidth="1"/>
    <col min="41" max="41" width="11.7109375" customWidth="1"/>
    <col min="42" max="42" width="10.85546875" customWidth="1"/>
    <col min="43" max="43" width="8.7109375" customWidth="1"/>
    <col min="44" max="44" width="7.85546875" customWidth="1"/>
    <col min="45" max="45" width="6.85546875" customWidth="1"/>
    <col min="46" max="47" width="9.85546875" customWidth="1"/>
  </cols>
  <sheetData>
    <row r="1" spans="1:47" ht="3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5" t="s">
        <v>37</v>
      </c>
      <c r="AM1" s="5" t="s">
        <v>38</v>
      </c>
      <c r="AN1" s="206" t="s">
        <v>39</v>
      </c>
      <c r="AO1" s="207"/>
      <c r="AP1" s="208"/>
      <c r="AQ1" s="6" t="s">
        <v>40</v>
      </c>
      <c r="AR1" s="6" t="s">
        <v>41</v>
      </c>
      <c r="AS1" s="6" t="s">
        <v>42</v>
      </c>
      <c r="AT1" s="7" t="s">
        <v>43</v>
      </c>
      <c r="AU1" s="8" t="s">
        <v>44</v>
      </c>
    </row>
    <row r="2" spans="1:47" ht="21.75" customHeight="1">
      <c r="A2" s="9"/>
      <c r="B2" s="10">
        <v>45905</v>
      </c>
      <c r="C2" s="10">
        <v>45907</v>
      </c>
      <c r="D2" s="10">
        <v>45912</v>
      </c>
      <c r="E2" s="10">
        <v>45914</v>
      </c>
      <c r="F2" s="11">
        <v>45914</v>
      </c>
      <c r="G2" s="10">
        <v>45921</v>
      </c>
      <c r="H2" s="10">
        <v>45923</v>
      </c>
      <c r="I2" s="10">
        <v>45926</v>
      </c>
      <c r="J2" s="10">
        <v>45933</v>
      </c>
      <c r="K2" s="12">
        <v>45935</v>
      </c>
      <c r="L2" s="13">
        <v>45935</v>
      </c>
      <c r="M2" s="13">
        <v>45935</v>
      </c>
      <c r="N2" s="13">
        <v>45936</v>
      </c>
      <c r="O2" s="13">
        <v>45961</v>
      </c>
      <c r="P2" s="11">
        <v>45961</v>
      </c>
      <c r="Q2" s="13">
        <v>45968</v>
      </c>
      <c r="R2" s="13">
        <v>45970</v>
      </c>
      <c r="S2" s="13">
        <v>45977</v>
      </c>
      <c r="T2" s="13">
        <v>45989</v>
      </c>
      <c r="U2" s="14">
        <v>46354</v>
      </c>
      <c r="V2" s="15">
        <v>45919</v>
      </c>
      <c r="W2" s="16">
        <v>45947</v>
      </c>
      <c r="X2" s="16">
        <v>45954</v>
      </c>
      <c r="Y2" s="16">
        <v>45975</v>
      </c>
      <c r="Z2" s="16">
        <v>45982</v>
      </c>
      <c r="AA2" s="16">
        <v>45984</v>
      </c>
      <c r="AB2" s="16">
        <v>45996</v>
      </c>
      <c r="AC2" s="17" t="s">
        <v>45</v>
      </c>
      <c r="AD2" s="17" t="s">
        <v>46</v>
      </c>
      <c r="AE2" s="17" t="s">
        <v>47</v>
      </c>
      <c r="AF2" s="17" t="s">
        <v>48</v>
      </c>
      <c r="AG2" s="13">
        <v>45991</v>
      </c>
      <c r="AH2" s="13">
        <v>45998</v>
      </c>
      <c r="AI2" s="18">
        <v>46003</v>
      </c>
      <c r="AJ2" s="18">
        <v>46005</v>
      </c>
      <c r="AK2" s="16">
        <v>46010</v>
      </c>
      <c r="AL2" s="19">
        <v>46012</v>
      </c>
      <c r="AM2" s="20" t="s">
        <v>49</v>
      </c>
      <c r="AN2" s="21" t="s">
        <v>50</v>
      </c>
      <c r="AO2" s="22" t="s">
        <v>51</v>
      </c>
      <c r="AP2" s="22" t="s">
        <v>51</v>
      </c>
      <c r="AQ2" s="23">
        <v>46272</v>
      </c>
      <c r="AR2" s="24">
        <v>46291</v>
      </c>
      <c r="AS2" s="23">
        <v>46298</v>
      </c>
      <c r="AT2" s="25"/>
      <c r="AU2" s="26">
        <v>46012</v>
      </c>
    </row>
    <row r="3" spans="1:47" ht="21.75" customHeight="1">
      <c r="A3" s="27" t="s">
        <v>69</v>
      </c>
      <c r="B3" s="28">
        <v>0.5</v>
      </c>
      <c r="C3" s="28">
        <v>0.5</v>
      </c>
      <c r="D3" s="28">
        <v>0.8</v>
      </c>
      <c r="E3" s="29">
        <v>2.5</v>
      </c>
      <c r="F3" s="30">
        <f>IF(SUM('Баллы, оценки'!$B19:$E19)&gt;=3.5,5,IF(AND(SUM('Баллы, оценки'!$B19:$E19)&gt;2.5,(SUM('Баллы, оценки'!$B19:$E19)&lt;3.5)),4,IF(AND(SUM('Баллы, оценки'!$B19:$E19)&lt;=2.5,(SUM('Баллы, оценки'!$B19:$E19)&gt;1.5)),3,2)))</f>
        <v>3</v>
      </c>
      <c r="G3" s="29">
        <v>0.5</v>
      </c>
      <c r="H3" s="31">
        <v>0.5</v>
      </c>
      <c r="I3" s="29">
        <v>0.5</v>
      </c>
      <c r="J3" s="31">
        <v>2.5</v>
      </c>
      <c r="K3" s="30">
        <f>IF(SUM('Баллы, оценки'!$G19:$J19)&gt;=3.5,5,IF(AND(SUM('Баллы, оценки'!$G19:$J19)&gt;2.5,(SUM('Баллы, оценки'!$G19:$J19)&lt;3.5)),4,IF(AND(SUM('Баллы, оценки'!$G19:$J19)&lt;=2.5,(SUM('Баллы, оценки'!$G19:$J19)&gt;1.5)),3,2)))</f>
        <v>5</v>
      </c>
      <c r="L3" s="29">
        <v>0.5</v>
      </c>
      <c r="M3" s="29">
        <v>0.5</v>
      </c>
      <c r="N3" s="29">
        <v>0.5</v>
      </c>
      <c r="O3" s="29"/>
      <c r="P3" s="30">
        <f>IF(SUM('Баллы, оценки'!$L19:$O19)&gt;=3.5,5,IF(AND(SUM('Баллы, оценки'!$L19:$O19)&gt;2.5,(SUM('Баллы, оценки'!$L19:$O19)&lt;3.5)),4,IF(AND(SUM('Баллы, оценки'!$L19:$O19)&lt;=2.5,(SUM('Баллы, оценки'!$L19:$O19)&gt;1.5)),3,2)))</f>
        <v>2</v>
      </c>
      <c r="Q3" s="29"/>
      <c r="R3" s="29"/>
      <c r="S3" s="29"/>
      <c r="T3" s="29"/>
      <c r="U3" s="30">
        <f>IF(SUM('Баллы, оценки'!$Q19:$T19)&gt;=3.5,5,IF(AND(SUM('Баллы, оценки'!$Q19:$T19)&gt;2.5,(SUM('Баллы, оценки'!$Q19:$T19)&lt;3.5)),4,IF(AND(SUM('Баллы, оценки'!$Q19:$T19)&lt;=2.5,(SUM('Баллы, оценки'!$Q19:$T19)&gt;1.5)),3,2)))</f>
        <v>2</v>
      </c>
      <c r="V3" s="32">
        <v>0.5</v>
      </c>
      <c r="W3" s="32"/>
      <c r="X3" s="32"/>
      <c r="Y3" s="32"/>
      <c r="Z3" s="32"/>
      <c r="AA3" s="32"/>
      <c r="AB3" s="32"/>
      <c r="AC3" s="33"/>
      <c r="AD3" s="33"/>
      <c r="AE3" s="33"/>
      <c r="AF3" s="33"/>
      <c r="AG3" s="34"/>
      <c r="AH3" s="29"/>
      <c r="AI3" s="29"/>
      <c r="AJ3" s="29"/>
      <c r="AK3" s="29"/>
      <c r="AL3" s="30">
        <f>SUM('Баллы, оценки'!$B19:$E19,'Баллы, оценки'!$G19:$J19,'Баллы, оценки'!$L19:$O19,'Баллы, оценки'!$Q19:$T19,'Баллы, оценки'!$V19:$AF19,AH3:AK3)</f>
        <v>7.5</v>
      </c>
      <c r="AM3" s="35">
        <f>32-COUNTA(B3:E3,G3:I3,L3:O3,Q3:T3,V3:AF3,AH3:AK3)</f>
        <v>21</v>
      </c>
      <c r="AN3" s="36"/>
      <c r="AO3" s="37"/>
      <c r="AP3" s="37"/>
      <c r="AQ3" s="38"/>
      <c r="AR3" s="39">
        <v>4</v>
      </c>
      <c r="AS3" s="38"/>
      <c r="AT3" s="38"/>
      <c r="AU3" s="35" t="e">
        <f>IF(AND('Баллы, оценки'!$AL19&lt;=38,'Баллы, оценки'!$AL19&gt;=31),5,IF(AND('Баллы, оценки'!$AL19&lt;=30.9,'Баллы, оценки'!$AL19&gt;=25),4,IF(AND('Баллы, оценки'!$AL19&lt;=24.9,'Баллы, оценки'!$AL19&gt;=21),3,н/а)))</f>
        <v>#NAME?</v>
      </c>
    </row>
    <row r="4" spans="1:47" ht="21.75" customHeight="1">
      <c r="A4" s="40" t="s">
        <v>68</v>
      </c>
      <c r="B4" s="41">
        <v>0.5</v>
      </c>
      <c r="C4" s="41">
        <v>0.5</v>
      </c>
      <c r="D4" s="41">
        <v>0.7</v>
      </c>
      <c r="E4" s="42">
        <v>2.5</v>
      </c>
      <c r="F4" s="43">
        <f>IF(SUM('Баллы, оценки'!$B18:$E18)&gt;=3.5,5,IF(AND(SUM('Баллы, оценки'!$B18:$E18)&gt;2.5,(SUM('Баллы, оценки'!$B18:$E18)&lt;3.5)),4,IF(AND(SUM('Баллы, оценки'!$B18:$E18)&lt;=2.5,(SUM('Баллы, оценки'!$B18:$E18)&gt;1.5)),3,2)))</f>
        <v>5</v>
      </c>
      <c r="G4" s="42">
        <v>0.5</v>
      </c>
      <c r="H4" s="44">
        <v>0.5</v>
      </c>
      <c r="I4" s="42">
        <v>0.5</v>
      </c>
      <c r="J4" s="44">
        <v>2.5</v>
      </c>
      <c r="K4" s="43">
        <f>IF(SUM('Баллы, оценки'!$G18:$J18)&gt;=3.5,5,IF(AND(SUM('Баллы, оценки'!$G18:$J18)&gt;2.5,(SUM('Баллы, оценки'!$G18:$J18)&lt;3.5)),4,IF(AND(SUM('Баллы, оценки'!$G18:$J18)&lt;=2.5,(SUM('Баллы, оценки'!$G18:$J18)&gt;1.5)),3,2)))</f>
        <v>3</v>
      </c>
      <c r="L4" s="42">
        <v>0.5</v>
      </c>
      <c r="M4" s="42">
        <v>0.5</v>
      </c>
      <c r="N4" s="42">
        <v>0.5</v>
      </c>
      <c r="O4" s="41"/>
      <c r="P4" s="43">
        <f>IF(SUM('Баллы, оценки'!$L18:$O18)&gt;=3.5,5,IF(AND(SUM('Баллы, оценки'!$L18:$O18)&gt;2.5,(SUM('Баллы, оценки'!$L18:$O18)&lt;3.5)),4,IF(AND(SUM('Баллы, оценки'!$L18:$O18)&lt;=2.5,(SUM('Баллы, оценки'!$L18:$O18)&gt;1.5)),3,2)))</f>
        <v>2</v>
      </c>
      <c r="Q4" s="41"/>
      <c r="R4" s="41"/>
      <c r="S4" s="41"/>
      <c r="T4" s="41"/>
      <c r="U4" s="43">
        <f>IF(SUM('Баллы, оценки'!$Q18:$T18)&gt;=3.5,5,IF(AND(SUM('Баллы, оценки'!$Q18:$T18)&gt;2.5,(SUM('Баллы, оценки'!$Q18:$T18)&lt;3.5)),4,IF(AND(SUM('Баллы, оценки'!$Q18:$T18)&lt;=2.5,(SUM('Баллы, оценки'!$Q18:$T18)&gt;1.5)),3,2)))</f>
        <v>2</v>
      </c>
      <c r="V4" s="32">
        <v>0.5</v>
      </c>
      <c r="W4" s="45"/>
      <c r="X4" s="209"/>
      <c r="Y4" s="45"/>
      <c r="Z4" s="45"/>
      <c r="AA4" s="45"/>
      <c r="AB4" s="45"/>
      <c r="AC4" s="46"/>
      <c r="AD4" s="46"/>
      <c r="AE4" s="46"/>
      <c r="AF4" s="46"/>
      <c r="AG4" s="47"/>
      <c r="AH4" s="41"/>
      <c r="AI4" s="41"/>
      <c r="AJ4" s="41"/>
      <c r="AK4" s="41"/>
      <c r="AL4" s="43">
        <f>SUM('Баллы, оценки'!$B18:$E18,'Баллы, оценки'!$G18:$J18,'Баллы, оценки'!$L18:$O18,'Баллы, оценки'!$Q18:$T18,'Баллы, оценки'!$V18:$AF18,AH4:AK4)</f>
        <v>7.5</v>
      </c>
      <c r="AM4" s="48">
        <f>32-COUNTA(B4:E4,G4:I4,L4:O4,Q4:T4,V4:AF4,AH4:AK4)</f>
        <v>21</v>
      </c>
      <c r="AN4" s="36"/>
      <c r="AO4" s="37"/>
      <c r="AP4" s="37"/>
      <c r="AQ4" s="49"/>
      <c r="AR4" s="50">
        <v>4</v>
      </c>
      <c r="AS4" s="49"/>
      <c r="AT4" s="49"/>
      <c r="AU4" s="48" t="e">
        <f>IF(AND('Баллы, оценки'!$AL18&lt;=38,'Баллы, оценки'!$AL18&gt;=31),5,IF(AND('Баллы, оценки'!$AL18&lt;=30.9,'Баллы, оценки'!$AL18&gt;=25),4,IF(AND('Баллы, оценки'!$AL18&lt;=24.9,'Баллы, оценки'!$AL18&gt;=21),3,н/а)))</f>
        <v>#NAME?</v>
      </c>
    </row>
    <row r="5" spans="1:47" ht="21.75" customHeight="1">
      <c r="A5" s="27" t="s">
        <v>56</v>
      </c>
      <c r="B5" s="28">
        <v>0.5</v>
      </c>
      <c r="C5" s="28">
        <v>0.5</v>
      </c>
      <c r="D5" s="28">
        <v>0.5</v>
      </c>
      <c r="E5" s="29">
        <v>2.5</v>
      </c>
      <c r="F5" s="30">
        <f>IF(SUM('Баллы, оценки'!$B7:$E7)&gt;=3.5,5,IF(AND(SUM('Баллы, оценки'!$B7:$E7)&gt;2.5,(SUM('Баллы, оценки'!$B7:$E7)&lt;3.5)),4,IF(AND(SUM('Баллы, оценки'!$B7:$E7)&lt;=2.5,(SUM('Баллы, оценки'!$B7:$E7)&gt;1.5)),3,2)))</f>
        <v>5</v>
      </c>
      <c r="G5" s="29">
        <v>0.5</v>
      </c>
      <c r="H5" s="31">
        <v>0.5</v>
      </c>
      <c r="I5" s="29">
        <v>0.5</v>
      </c>
      <c r="J5" s="31">
        <v>2.5</v>
      </c>
      <c r="K5" s="30">
        <f>IF(SUM('Баллы, оценки'!$G7:$J7)&gt;=3.5,5,IF(AND(SUM('Баллы, оценки'!$G7:$J7)&gt;2.5,(SUM('Баллы, оценки'!$G7:$J7)&lt;3.5)),4,IF(AND(SUM('Баллы, оценки'!$G7:$J7)&lt;=2.5,(SUM('Баллы, оценки'!$G7:$J7)&gt;1.5)),3,2)))</f>
        <v>5</v>
      </c>
      <c r="L5" s="29">
        <v>0.5</v>
      </c>
      <c r="M5" s="29">
        <v>0.5</v>
      </c>
      <c r="N5" s="29">
        <v>0.5</v>
      </c>
      <c r="O5" s="28"/>
      <c r="P5" s="30">
        <f>IF(SUM('Баллы, оценки'!$L7:$O7)&gt;=3.5,5,IF(AND(SUM('Баллы, оценки'!$L7:$O7)&gt;2.5,(SUM('Баллы, оценки'!$L7:$O7)&lt;3.5)),4,IF(AND(SUM('Баллы, оценки'!$L7:$O7)&lt;=2.5,(SUM('Баллы, оценки'!$L7:$O7)&gt;1.5)),3,2)))</f>
        <v>2</v>
      </c>
      <c r="Q5" s="28"/>
      <c r="R5" s="28"/>
      <c r="S5" s="28"/>
      <c r="T5" s="28"/>
      <c r="U5" s="30">
        <f>IF(SUM('Баллы, оценки'!$Q7:$T7)&gt;=3.5,5,IF(AND(SUM('Баллы, оценки'!$Q7:$T7)&gt;2.5,(SUM('Баллы, оценки'!$Q7:$T7)&lt;3.5)),4,IF(AND(SUM('Баллы, оценки'!$Q7:$T7)&lt;=2.5,(SUM('Баллы, оценки'!$Q7:$T7)&gt;1.5)),3,2)))</f>
        <v>2</v>
      </c>
      <c r="V5" s="32">
        <v>0.5</v>
      </c>
      <c r="W5" s="45"/>
      <c r="X5" s="45"/>
      <c r="Y5" s="45"/>
      <c r="Z5" s="45"/>
      <c r="AA5" s="45"/>
      <c r="AB5" s="45"/>
      <c r="AC5" s="46"/>
      <c r="AD5" s="46"/>
      <c r="AE5" s="46"/>
      <c r="AF5" s="46"/>
      <c r="AG5" s="34"/>
      <c r="AH5" s="28"/>
      <c r="AI5" s="28"/>
      <c r="AJ5" s="28"/>
      <c r="AK5" s="28"/>
      <c r="AL5" s="30">
        <f>SUM('Баллы, оценки'!$B7:$E7,'Баллы, оценки'!$G7:$J7,'Баллы, оценки'!$L7:$O7,'Баллы, оценки'!$Q7:$T7,'Баллы, оценки'!$V7:$AF7,AH5:AK5)</f>
        <v>9.5</v>
      </c>
      <c r="AM5" s="35">
        <f>32-COUNTA(B5:E5,G5:I5,L5:O5,Q5:T5,V5:AF5,AH5:AK5)</f>
        <v>21</v>
      </c>
      <c r="AN5" s="36"/>
      <c r="AO5" s="37"/>
      <c r="AP5" s="37"/>
      <c r="AQ5" s="38"/>
      <c r="AR5" s="39">
        <v>4</v>
      </c>
      <c r="AS5" s="38"/>
      <c r="AT5" s="38"/>
      <c r="AU5" s="35" t="e">
        <f>IF(AND('Баллы, оценки'!$AL7&lt;=38,'Баллы, оценки'!$AL7&gt;=31),5,IF(AND('Баллы, оценки'!$AL7&lt;=30.9,'Баллы, оценки'!$AL7&gt;=25),4,IF(AND('Баллы, оценки'!$AL7&lt;=24.9,'Баллы, оценки'!$AL7&gt;=21),3,н/а)))</f>
        <v>#NAME?</v>
      </c>
    </row>
    <row r="6" spans="1:47" ht="21.75" customHeight="1">
      <c r="A6" s="40" t="s">
        <v>62</v>
      </c>
      <c r="B6" s="41">
        <v>0.5</v>
      </c>
      <c r="C6" s="41">
        <v>0.5</v>
      </c>
      <c r="D6" s="41">
        <v>0.5</v>
      </c>
      <c r="E6" s="41">
        <v>2.5</v>
      </c>
      <c r="F6" s="43">
        <f>IF(SUM('Баллы, оценки'!$B12:$E12)&gt;=3.5,5,IF(AND(SUM('Баллы, оценки'!$B12:$E12)&gt;2.5,(SUM('Баллы, оценки'!$B12:$E12)&lt;3.5)),4,IF(AND(SUM('Баллы, оценки'!$B12:$E12)&lt;=2.5,(SUM('Баллы, оценки'!$B12:$E12)&gt;1.5)),3,2)))</f>
        <v>5</v>
      </c>
      <c r="G6" s="42">
        <v>0.5</v>
      </c>
      <c r="H6" s="44">
        <v>0.5</v>
      </c>
      <c r="I6" s="42">
        <v>0.5</v>
      </c>
      <c r="J6" s="44">
        <v>2</v>
      </c>
      <c r="K6" s="43">
        <f>IF(SUM('Баллы, оценки'!$G12:$J12)&gt;=3.5,5,IF(AND(SUM('Баллы, оценки'!$G12:$J12)&gt;2.5,(SUM('Баллы, оценки'!$G12:$J12)&lt;3.5)),4,IF(AND(SUM('Баллы, оценки'!$G12:$J12)&lt;=2.5,(SUM('Баллы, оценки'!$G12:$J12)&gt;1.5)),3,2)))</f>
        <v>5</v>
      </c>
      <c r="L6" s="42">
        <v>0.5</v>
      </c>
      <c r="M6" s="42">
        <v>0.5</v>
      </c>
      <c r="N6" s="42">
        <v>0.5</v>
      </c>
      <c r="O6" s="41"/>
      <c r="P6" s="43">
        <f>IF(SUM('Баллы, оценки'!$L12:$O12)&gt;=3.5,5,IF(AND(SUM('Баллы, оценки'!$L12:$O12)&gt;2.5,(SUM('Баллы, оценки'!$L12:$O12)&lt;3.5)),4,IF(AND(SUM('Баллы, оценки'!$L12:$O12)&lt;=2.5,(SUM('Баллы, оценки'!$L12:$O12)&gt;1.5)),3,2)))</f>
        <v>2</v>
      </c>
      <c r="Q6" s="41"/>
      <c r="R6" s="41"/>
      <c r="S6" s="41"/>
      <c r="T6" s="41"/>
      <c r="U6" s="43">
        <f>IF(SUM('Баллы, оценки'!$Q12:$T12)&gt;=3.5,5,IF(AND(SUM('Баллы, оценки'!$Q12:$T12)&gt;2.5,(SUM('Баллы, оценки'!$Q12:$T12)&lt;3.5)),4,IF(AND(SUM('Баллы, оценки'!$Q12:$T12)&lt;=2.5,(SUM('Баллы, оценки'!$Q12:$T12)&gt;1.5)),3,2)))</f>
        <v>2</v>
      </c>
      <c r="V6" s="32">
        <v>0.5</v>
      </c>
      <c r="W6" s="45"/>
      <c r="X6" s="45"/>
      <c r="Y6" s="45"/>
      <c r="Z6" s="45"/>
      <c r="AA6" s="45"/>
      <c r="AB6" s="45"/>
      <c r="AC6" s="46"/>
      <c r="AD6" s="46"/>
      <c r="AE6" s="46"/>
      <c r="AF6" s="46"/>
      <c r="AG6" s="47"/>
      <c r="AH6" s="41"/>
      <c r="AI6" s="41"/>
      <c r="AJ6" s="41"/>
      <c r="AK6" s="41"/>
      <c r="AL6" s="43">
        <f>SUM('Баллы, оценки'!$B12:$E12,'Баллы, оценки'!$G12:$J12,'Баллы, оценки'!$L12:$O12,'Баллы, оценки'!$Q12:$T12,'Баллы, оценки'!$V12:$AF12,AH6:AK6)</f>
        <v>9</v>
      </c>
      <c r="AM6" s="48">
        <f>32-COUNTA(B6:E6,G6:I6,L6:O6,Q6:T6,V6:AF6,AH6:AK6)</f>
        <v>21</v>
      </c>
      <c r="AN6" s="36"/>
      <c r="AO6" s="37"/>
      <c r="AP6" s="37"/>
      <c r="AQ6" s="49"/>
      <c r="AR6" s="51">
        <v>4</v>
      </c>
      <c r="AS6" s="49"/>
      <c r="AT6" s="49"/>
      <c r="AU6" s="48" t="e">
        <f>IF(AND('Баллы, оценки'!$AL12&lt;=38,'Баллы, оценки'!$AL12&gt;=31),5,IF(AND('Баллы, оценки'!$AL12&lt;=30.9,'Баллы, оценки'!$AL12&gt;=25),4,IF(AND('Баллы, оценки'!$AL12&lt;=24.9,'Баллы, оценки'!$AL12&gt;=21),3,н/а)))</f>
        <v>#NAME?</v>
      </c>
    </row>
    <row r="7" spans="1:47" ht="21.75" customHeight="1">
      <c r="A7" s="40" t="s">
        <v>76</v>
      </c>
      <c r="B7" s="42">
        <v>0.5</v>
      </c>
      <c r="C7" s="42">
        <v>0.5</v>
      </c>
      <c r="D7" s="42">
        <v>0.5</v>
      </c>
      <c r="E7" s="42">
        <v>2.5</v>
      </c>
      <c r="F7" s="43">
        <f>IF(SUM('Баллы, оценки'!$B26:$E26)&gt;=3.5,5,IF(AND(SUM('Баллы, оценки'!$B26:$E26)&gt;2.5,(SUM('Баллы, оценки'!$B26:$E26)&lt;3.5)),4,IF(AND(SUM('Баллы, оценки'!$B26:$E26)&lt;=2.5,(SUM('Баллы, оценки'!$B26:$E26)&gt;1.5)),3,2)))</f>
        <v>5</v>
      </c>
      <c r="G7" s="42">
        <v>0.5</v>
      </c>
      <c r="H7" s="47">
        <v>0.5</v>
      </c>
      <c r="I7" s="42">
        <v>0.5</v>
      </c>
      <c r="J7" s="47">
        <v>2</v>
      </c>
      <c r="K7" s="43">
        <f>IF(SUM('Баллы, оценки'!$G26:$J26)&gt;=3.5,5,IF(AND(SUM('Баллы, оценки'!$G26:$J26)&gt;2.5,(SUM('Баллы, оценки'!$G26:$J26)&lt;3.5)),4,IF(AND(SUM('Баллы, оценки'!$G26:$J26)&lt;=2.5,(SUM('Баллы, оценки'!$G26:$J26)&gt;1.5)),3,2)))</f>
        <v>2</v>
      </c>
      <c r="L7" s="42">
        <v>0.5</v>
      </c>
      <c r="M7" s="42">
        <v>0.5</v>
      </c>
      <c r="N7" s="42">
        <v>0.5</v>
      </c>
      <c r="O7" s="42"/>
      <c r="P7" s="43">
        <f>IF(SUM('Баллы, оценки'!$L26:$O26)&gt;=3.5,5,IF(AND(SUM('Баллы, оценки'!$L26:$O26)&gt;2.5,(SUM('Баллы, оценки'!$L26:$O26)&lt;3.5)),4,IF(AND(SUM('Баллы, оценки'!$L26:$O26)&lt;=2.5,(SUM('Баллы, оценки'!$L26:$O26)&gt;1.5)),3,2)))</f>
        <v>2</v>
      </c>
      <c r="Q7" s="42"/>
      <c r="R7" s="42"/>
      <c r="S7" s="42"/>
      <c r="T7" s="42"/>
      <c r="U7" s="43">
        <f>IF(SUM('Баллы, оценки'!$Q26:$T26)&gt;=3.5,5,IF(AND(SUM('Баллы, оценки'!$Q26:$T26)&gt;2.5,(SUM('Баллы, оценки'!$Q26:$T26)&lt;3.5)),4,IF(AND(SUM('Баллы, оценки'!$Q26:$T26)&lt;=2.5,(SUM('Баллы, оценки'!$Q26:$T26)&gt;1.5)),3,2)))</f>
        <v>2</v>
      </c>
      <c r="V7" s="32">
        <v>0.5</v>
      </c>
      <c r="W7" s="45"/>
      <c r="X7" s="45"/>
      <c r="Y7" s="45"/>
      <c r="Z7" s="45"/>
      <c r="AA7" s="45"/>
      <c r="AB7" s="45"/>
      <c r="AC7" s="46"/>
      <c r="AD7" s="46"/>
      <c r="AE7" s="46"/>
      <c r="AF7" s="46"/>
      <c r="AG7" s="47"/>
      <c r="AH7" s="42"/>
      <c r="AI7" s="42"/>
      <c r="AJ7" s="42"/>
      <c r="AK7" s="42"/>
      <c r="AL7" s="43">
        <f>SUM('Баллы, оценки'!$B26:$E26,'Баллы, оценки'!$G26:$J26,'Баллы, оценки'!$L26:$O26,'Баллы, оценки'!$Q26:$T26,'Баллы, оценки'!$V26:$AF26,AH7:AK7)</f>
        <v>5.5</v>
      </c>
      <c r="AM7" s="48">
        <f>32-COUNTA(B7:E7,G7:I7,L7:O7,Q7:T7,V7:AF7,AH7:AK7)</f>
        <v>21</v>
      </c>
      <c r="AN7" s="36"/>
      <c r="AO7" s="37"/>
      <c r="AP7" s="37"/>
      <c r="AQ7" s="49"/>
      <c r="AR7" s="51">
        <v>4</v>
      </c>
      <c r="AS7" s="49"/>
      <c r="AT7" s="49"/>
      <c r="AU7" s="48" t="e">
        <f>IF(AND('Баллы, оценки'!$AL26&lt;=38,'Баллы, оценки'!$AL26&gt;=31),5,IF(AND('Баллы, оценки'!$AL26&lt;=30.9,'Баллы, оценки'!$AL26&gt;=25),4,IF(AND('Баллы, оценки'!$AL26&lt;=24.9,'Баллы, оценки'!$AL26&gt;=21),3,н/а)))</f>
        <v>#NAME?</v>
      </c>
    </row>
    <row r="8" spans="1:47" ht="21.75" customHeight="1">
      <c r="A8" s="27" t="s">
        <v>77</v>
      </c>
      <c r="B8" s="29">
        <v>0.5</v>
      </c>
      <c r="C8" s="29">
        <v>0.5</v>
      </c>
      <c r="D8" s="29">
        <v>0.5</v>
      </c>
      <c r="E8" s="29">
        <v>2</v>
      </c>
      <c r="F8" s="30">
        <f>IF(SUM('Баллы, оценки'!$B27:$E27)&gt;=3.5,5,IF(AND(SUM('Баллы, оценки'!$B27:$E27)&gt;2.5,(SUM('Баллы, оценки'!$B27:$E27)&lt;3.5)),4,IF(AND(SUM('Баллы, оценки'!$B27:$E27)&lt;=2.5,(SUM('Баллы, оценки'!$B27:$E27)&gt;1.5)),3,2)))</f>
        <v>4</v>
      </c>
      <c r="G8" s="29">
        <v>0.5</v>
      </c>
      <c r="H8" s="34">
        <v>0.5</v>
      </c>
      <c r="I8" s="29">
        <v>0.5</v>
      </c>
      <c r="J8" s="34">
        <v>2.5</v>
      </c>
      <c r="K8" s="30">
        <f>IF(SUM('Баллы, оценки'!$G27:$J27)&gt;=3.5,5,IF(AND(SUM('Баллы, оценки'!$G27:$J27)&gt;2.5,(SUM('Баллы, оценки'!$G27:$J27)&lt;3.5)),4,IF(AND(SUM('Баллы, оценки'!$G27:$J27)&lt;=2.5,(SUM('Баллы, оценки'!$G27:$J27)&gt;1.5)),3,2)))</f>
        <v>2</v>
      </c>
      <c r="L8" s="29">
        <v>0.5</v>
      </c>
      <c r="M8" s="29">
        <v>0.5</v>
      </c>
      <c r="N8" s="29">
        <v>0.5</v>
      </c>
      <c r="O8" s="29"/>
      <c r="P8" s="30">
        <f>IF(SUM('Баллы, оценки'!$L27:$O27)&gt;=3.5,5,IF(AND(SUM('Баллы, оценки'!$L27:$O27)&gt;2.5,(SUM('Баллы, оценки'!$L27:$O27)&lt;3.5)),4,IF(AND(SUM('Баллы, оценки'!$L27:$O27)&lt;=2.5,(SUM('Баллы, оценки'!$L27:$O27)&gt;1.5)),3,2)))</f>
        <v>2</v>
      </c>
      <c r="Q8" s="29"/>
      <c r="R8" s="29"/>
      <c r="S8" s="29"/>
      <c r="T8" s="29"/>
      <c r="U8" s="30">
        <f>IF(SUM('Баллы, оценки'!$Q27:$T27)&gt;=3.5,5,IF(AND(SUM('Баллы, оценки'!$Q27:$T27)&gt;2.5,(SUM('Баллы, оценки'!$Q27:$T27)&lt;3.5)),4,IF(AND(SUM('Баллы, оценки'!$Q27:$T27)&lt;=2.5,(SUM('Баллы, оценки'!$Q27:$T27)&gt;1.5)),3,2)))</f>
        <v>2</v>
      </c>
      <c r="V8" s="32">
        <v>0.5</v>
      </c>
      <c r="W8" s="45"/>
      <c r="X8" s="45"/>
      <c r="Y8" s="45"/>
      <c r="Z8" s="45"/>
      <c r="AA8" s="45"/>
      <c r="AB8" s="45"/>
      <c r="AC8" s="46"/>
      <c r="AD8" s="46"/>
      <c r="AE8" s="46"/>
      <c r="AF8" s="46"/>
      <c r="AG8" s="34"/>
      <c r="AH8" s="29"/>
      <c r="AI8" s="29"/>
      <c r="AJ8" s="29"/>
      <c r="AK8" s="29"/>
      <c r="AL8" s="30">
        <f>SUM('Баллы, оценки'!$B27:$E27,'Баллы, оценки'!$G27:$J27,'Баллы, оценки'!$L27:$O27,'Баллы, оценки'!$Q27:$T27,'Баллы, оценки'!$V27:$AF27,AH8:AK8)</f>
        <v>5</v>
      </c>
      <c r="AM8" s="35">
        <f>32-COUNTA(B8:E8,G8:I8,L8:O8,Q8:T8,V8:AF8,AH8:AK8)</f>
        <v>21</v>
      </c>
      <c r="AN8" s="36"/>
      <c r="AO8" s="37"/>
      <c r="AP8" s="37"/>
      <c r="AQ8" s="38"/>
      <c r="AR8" s="53">
        <v>4</v>
      </c>
      <c r="AS8" s="38"/>
      <c r="AT8" s="38"/>
      <c r="AU8" s="35" t="e">
        <f>IF(AND('Баллы, оценки'!$AL27&lt;=38,'Баллы, оценки'!$AL27&gt;=31),5,IF(AND('Баллы, оценки'!$AL27&lt;=30.9,'Баллы, оценки'!$AL27&gt;=25),4,IF(AND('Баллы, оценки'!$AL27&lt;=24.9,'Баллы, оценки'!$AL27&gt;=21),3,н/а)))</f>
        <v>#NAME?</v>
      </c>
    </row>
    <row r="9" spans="1:47" ht="21.75" customHeight="1">
      <c r="A9" s="40" t="s">
        <v>53</v>
      </c>
      <c r="B9" s="42">
        <v>0.5</v>
      </c>
      <c r="C9" s="42">
        <v>0.5</v>
      </c>
      <c r="D9" s="42"/>
      <c r="E9" s="42">
        <v>2</v>
      </c>
      <c r="F9" s="43">
        <f>IF(SUM('Баллы, оценки'!$B4:$E4)&gt;=3.5,5,IF(AND(SUM('Баллы, оценки'!$B4:$E4)&gt;2.5,(SUM('Баллы, оценки'!$B4:$E4)&lt;3.5)),4,IF(AND(SUM('Баллы, оценки'!$B4:$E4)&lt;=2.5,(SUM('Баллы, оценки'!$B4:$E4)&gt;1.5)),3,2)))</f>
        <v>5</v>
      </c>
      <c r="G9" s="42">
        <v>0.5</v>
      </c>
      <c r="H9" s="47">
        <v>0.5</v>
      </c>
      <c r="I9" s="42">
        <v>0.5</v>
      </c>
      <c r="J9" s="47">
        <v>2.5</v>
      </c>
      <c r="K9" s="43">
        <f>IF(SUM('Баллы, оценки'!$G4:$J4)&gt;=3.5,5,IF(AND(SUM('Баллы, оценки'!$G4:$J4)&gt;2.5,(SUM('Баллы, оценки'!$G4:$J4)&lt;3.5)),4,IF(AND(SUM('Баллы, оценки'!$G4:$J4)&lt;=2.5,(SUM('Баллы, оценки'!$G4:$J4)&gt;1.5)),3,2)))</f>
        <v>5</v>
      </c>
      <c r="L9" s="42">
        <v>0.5</v>
      </c>
      <c r="M9" s="42">
        <v>0.5</v>
      </c>
      <c r="N9" s="42">
        <v>0.5</v>
      </c>
      <c r="O9" s="42"/>
      <c r="P9" s="43">
        <f>IF(SUM('Баллы, оценки'!$L4:$O4)&gt;=3.5,5,IF(AND(SUM('Баллы, оценки'!$L4:$O4)&gt;2.5,(SUM('Баллы, оценки'!$L4:$O4)&lt;3.5)),4,IF(AND(SUM('Баллы, оценки'!$L4:$O4)&lt;=2.5,(SUM('Баллы, оценки'!$L4:$O4)&gt;1.5)),3,2)))</f>
        <v>2</v>
      </c>
      <c r="Q9" s="42"/>
      <c r="R9" s="42"/>
      <c r="S9" s="42"/>
      <c r="T9" s="42"/>
      <c r="U9" s="43">
        <f>IF(SUM('Баллы, оценки'!$Q4:$T4)&gt;=3.5,5,IF(AND(SUM('Баллы, оценки'!$Q4:$T4)&gt;2.5,(SUM('Баллы, оценки'!$Q4:$T4)&lt;3.5)),4,IF(AND(SUM('Баллы, оценки'!$Q4:$T4)&lt;=2.5,(SUM('Баллы, оценки'!$Q4:$T4)&gt;1.5)),3,2)))</f>
        <v>2</v>
      </c>
      <c r="V9" s="32">
        <v>0.5</v>
      </c>
      <c r="W9" s="45"/>
      <c r="X9" s="210"/>
      <c r="Y9" s="45"/>
      <c r="Z9" s="45"/>
      <c r="AA9" s="45"/>
      <c r="AB9" s="45"/>
      <c r="AC9" s="46"/>
      <c r="AD9" s="46"/>
      <c r="AE9" s="46"/>
      <c r="AF9" s="46"/>
      <c r="AG9" s="47"/>
      <c r="AH9" s="42"/>
      <c r="AI9" s="42"/>
      <c r="AJ9" s="42"/>
      <c r="AK9" s="42"/>
      <c r="AL9" s="43">
        <f>SUM('Баллы, оценки'!$B4:$E4,'Баллы, оценки'!$G4:$J4,'Баллы, оценки'!$L4:$O4,'Баллы, оценки'!$Q4:$T4,'Баллы, оценки'!$V4:$AF4,AH9:AK9)</f>
        <v>10.199999999999999</v>
      </c>
      <c r="AM9" s="48">
        <f>32-COUNTA(B9:E9,G9:I9,L9:O9,Q9:T9,V9:AF9,AH9:AK9)</f>
        <v>22</v>
      </c>
      <c r="AN9" s="36"/>
      <c r="AO9" s="37"/>
      <c r="AP9" s="37"/>
      <c r="AQ9" s="49"/>
      <c r="AR9" s="51">
        <v>4</v>
      </c>
      <c r="AS9" s="49"/>
      <c r="AT9" s="49"/>
      <c r="AU9" s="48" t="e">
        <f>IF(AND('Баллы, оценки'!$AL4&lt;=38,'Баллы, оценки'!$AL4&gt;=31),5,IF(AND('Баллы, оценки'!$AL4&lt;=30.9,'Баллы, оценки'!$AL4&gt;=25),4,IF(AND('Баллы, оценки'!$AL4&lt;=24.9,'Баллы, оценки'!$AL4&gt;=21),3,н/а)))</f>
        <v>#NAME?</v>
      </c>
    </row>
    <row r="10" spans="1:47" ht="21.75" customHeight="1">
      <c r="A10" s="40" t="s">
        <v>57</v>
      </c>
      <c r="B10" s="41">
        <v>0.5</v>
      </c>
      <c r="C10" s="41">
        <v>0.5</v>
      </c>
      <c r="D10" s="41">
        <v>0.5</v>
      </c>
      <c r="E10" s="42">
        <v>2</v>
      </c>
      <c r="F10" s="43">
        <f>IF(SUM('Баллы, оценки'!$B8:$E8)&gt;=3.5,5,IF(AND(SUM('Баллы, оценки'!$B8:$E8)&gt;2.5,(SUM('Баллы, оценки'!$B8:$E8)&lt;3.5)),4,IF(AND(SUM('Баллы, оценки'!$B8:$E8)&lt;=2.5,(SUM('Баллы, оценки'!$B8:$E8)&gt;1.5)),3,2)))</f>
        <v>5</v>
      </c>
      <c r="G10" s="42">
        <v>0.5</v>
      </c>
      <c r="H10" s="44">
        <v>0.5</v>
      </c>
      <c r="I10" s="42">
        <v>0.5</v>
      </c>
      <c r="J10" s="44">
        <v>2</v>
      </c>
      <c r="K10" s="43">
        <f>IF(SUM('Баллы, оценки'!$G8:$J8)&gt;=3.5,5,IF(AND(SUM('Баллы, оценки'!$G8:$J8)&gt;2.5,(SUM('Баллы, оценки'!$G8:$J8)&lt;3.5)),4,IF(AND(SUM('Баллы, оценки'!$G8:$J8)&lt;=2.5,(SUM('Баллы, оценки'!$G8:$J8)&gt;1.5)),3,2)))</f>
        <v>5</v>
      </c>
      <c r="L10" s="42">
        <v>0.5</v>
      </c>
      <c r="M10" s="42">
        <v>0.5</v>
      </c>
      <c r="N10" s="42">
        <v>0.5</v>
      </c>
      <c r="O10" s="41"/>
      <c r="P10" s="43">
        <f>IF(SUM('Баллы, оценки'!$L8:$O8)&gt;=3.5,5,IF(AND(SUM('Баллы, оценки'!$L8:$O8)&gt;2.5,(SUM('Баллы, оценки'!$L8:$O8)&lt;3.5)),4,IF(AND(SUM('Баллы, оценки'!$L8:$O8)&lt;=2.5,(SUM('Баллы, оценки'!$L8:$O8)&gt;1.5)),3,2)))</f>
        <v>2</v>
      </c>
      <c r="Q10" s="41"/>
      <c r="R10" s="41"/>
      <c r="S10" s="41"/>
      <c r="T10" s="41"/>
      <c r="U10" s="43">
        <f>IF(SUM('Баллы, оценки'!$Q8:$T8)&gt;=3.5,5,IF(AND(SUM('Баллы, оценки'!$Q8:$T8)&gt;2.5,(SUM('Баллы, оценки'!$Q8:$T8)&lt;3.5)),4,IF(AND(SUM('Баллы, оценки'!$Q8:$T8)&lt;=2.5,(SUM('Баллы, оценки'!$Q8:$T8)&gt;1.5)),3,2)))</f>
        <v>2</v>
      </c>
      <c r="V10" s="32">
        <v>0.5</v>
      </c>
      <c r="W10" s="45"/>
      <c r="X10" s="45"/>
      <c r="Y10" s="45"/>
      <c r="Z10" s="45"/>
      <c r="AA10" s="45"/>
      <c r="AB10" s="45"/>
      <c r="AC10" s="46"/>
      <c r="AD10" s="46"/>
      <c r="AE10" s="46"/>
      <c r="AF10" s="46"/>
      <c r="AG10" s="47"/>
      <c r="AH10" s="41"/>
      <c r="AI10" s="41"/>
      <c r="AJ10" s="41"/>
      <c r="AK10" s="41"/>
      <c r="AL10" s="43">
        <f>SUM('Баллы, оценки'!$B8:$E8,'Баллы, оценки'!$G8:$J8,'Баллы, оценки'!$L8:$O8,'Баллы, оценки'!$Q8:$T8,'Баллы, оценки'!$V8:$AF8,AH10:AK10)</f>
        <v>9.5</v>
      </c>
      <c r="AM10" s="48">
        <f>32-COUNTA(B10:E10,G10:I10,L10:O10,Q10:T10,V10:AF10,AH10:AK10)</f>
        <v>21</v>
      </c>
      <c r="AN10" s="36"/>
      <c r="AO10" s="37"/>
      <c r="AP10" s="37"/>
      <c r="AQ10" s="49"/>
      <c r="AR10" s="50">
        <v>3</v>
      </c>
      <c r="AS10" s="49"/>
      <c r="AT10" s="49"/>
      <c r="AU10" s="48" t="e">
        <f>IF(AND('Баллы, оценки'!$AL8&lt;=38,'Баллы, оценки'!$AL8&gt;=31),5,IF(AND('Баллы, оценки'!$AL8&lt;=30.9,'Баллы, оценки'!$AL8&gt;=25),4,IF(AND('Баллы, оценки'!$AL8&lt;=24.9,'Баллы, оценки'!$AL8&gt;=21),3,н/а)))</f>
        <v>#NAME?</v>
      </c>
    </row>
    <row r="11" spans="1:47" ht="21.75" customHeight="1">
      <c r="A11" s="40" t="s">
        <v>66</v>
      </c>
      <c r="B11" s="42">
        <v>0.5</v>
      </c>
      <c r="C11" s="42">
        <v>0.5</v>
      </c>
      <c r="D11" s="42">
        <v>0.5</v>
      </c>
      <c r="E11" s="42">
        <v>2.5</v>
      </c>
      <c r="F11" s="43">
        <f>IF(SUM('Баллы, оценки'!$B16:$E16)&gt;=3.5,5,IF(AND(SUM('Баллы, оценки'!$B16:$E16)&gt;2.5,(SUM('Баллы, оценки'!$B16:$E16)&lt;3.5)),4,IF(AND(SUM('Баллы, оценки'!$B16:$E16)&lt;=2.5,(SUM('Баллы, оценки'!$B16:$E16)&gt;1.5)),3,2)))</f>
        <v>5</v>
      </c>
      <c r="G11" s="42">
        <v>0.5</v>
      </c>
      <c r="H11" s="47">
        <v>0.5</v>
      </c>
      <c r="I11" s="42">
        <v>0.5</v>
      </c>
      <c r="J11" s="47">
        <v>1.5</v>
      </c>
      <c r="K11" s="43">
        <f>IF(SUM('Баллы, оценки'!$G16:$J16)&gt;=3.5,5,IF(AND(SUM('Баллы, оценки'!$G16:$J16)&gt;2.5,(SUM('Баллы, оценки'!$G16:$J16)&lt;3.5)),4,IF(AND(SUM('Баллы, оценки'!$G16:$J16)&lt;=2.5,(SUM('Баллы, оценки'!$G16:$J16)&gt;1.5)),3,2)))</f>
        <v>3</v>
      </c>
      <c r="L11" s="42">
        <v>0.5</v>
      </c>
      <c r="M11" s="42">
        <v>0.5</v>
      </c>
      <c r="N11" s="42">
        <v>0.5</v>
      </c>
      <c r="O11" s="42"/>
      <c r="P11" s="43">
        <f>IF(SUM('Баллы, оценки'!$L16:$O16)&gt;=3.5,5,IF(AND(SUM('Баллы, оценки'!$L16:$O16)&gt;2.5,(SUM('Баллы, оценки'!$L16:$O16)&lt;3.5)),4,IF(AND(SUM('Баллы, оценки'!$L16:$O16)&lt;=2.5,(SUM('Баллы, оценки'!$L16:$O16)&gt;1.5)),3,2)))</f>
        <v>2</v>
      </c>
      <c r="Q11" s="42"/>
      <c r="R11" s="42"/>
      <c r="S11" s="42"/>
      <c r="T11" s="42"/>
      <c r="U11" s="43">
        <f>IF(SUM('Баллы, оценки'!$Q16:$T16)&gt;=3.5,5,IF(AND(SUM('Баллы, оценки'!$Q16:$T16)&gt;2.5,(SUM('Баллы, оценки'!$Q16:$T16)&lt;3.5)),4,IF(AND(SUM('Баллы, оценки'!$Q16:$T16)&lt;=2.5,(SUM('Баллы, оценки'!$Q16:$T16)&gt;1.5)),3,2)))</f>
        <v>2</v>
      </c>
      <c r="V11" s="32">
        <v>0.5</v>
      </c>
      <c r="W11" s="45"/>
      <c r="X11" s="45"/>
      <c r="Y11" s="45"/>
      <c r="Z11" s="45"/>
      <c r="AA11" s="45"/>
      <c r="AB11" s="45"/>
      <c r="AC11" s="46"/>
      <c r="AD11" s="46"/>
      <c r="AE11" s="46"/>
      <c r="AF11" s="46"/>
      <c r="AG11" s="47"/>
      <c r="AH11" s="42"/>
      <c r="AI11" s="42"/>
      <c r="AJ11" s="42"/>
      <c r="AK11" s="42"/>
      <c r="AL11" s="43">
        <f>SUM('Баллы, оценки'!$B16:$E16,'Баллы, оценки'!$G16:$J16,'Баллы, оценки'!$L16:$O16,'Баллы, оценки'!$Q16:$T16,'Баллы, оценки'!$V16:$AF16,AH11:AK11)</f>
        <v>8</v>
      </c>
      <c r="AM11" s="48">
        <f>32-COUNTA(B11:E11,G11:I11,L11:O11,Q11:T11,V11:AF11,AH11:AK11)</f>
        <v>21</v>
      </c>
      <c r="AN11" s="36"/>
      <c r="AO11" s="37"/>
      <c r="AP11" s="37"/>
      <c r="AQ11" s="49"/>
      <c r="AR11" s="51">
        <v>4</v>
      </c>
      <c r="AS11" s="49"/>
      <c r="AT11" s="49"/>
      <c r="AU11" s="48" t="e">
        <f>IF(AND('Баллы, оценки'!$AL16&lt;=38,'Баллы, оценки'!$AL16&gt;=31),5,IF(AND('Баллы, оценки'!$AL16&lt;=30.9,'Баллы, оценки'!$AL16&gt;=25),4,IF(AND('Баллы, оценки'!$AL16&lt;=24.9,'Баллы, оценки'!$AL16&gt;=21),3,н/а)))</f>
        <v>#NAME?</v>
      </c>
    </row>
    <row r="12" spans="1:47" ht="21.75" customHeight="1">
      <c r="A12" s="40" t="s">
        <v>78</v>
      </c>
      <c r="B12" s="41">
        <v>0.5</v>
      </c>
      <c r="C12" s="41">
        <v>0.5</v>
      </c>
      <c r="D12" s="41"/>
      <c r="E12" s="42">
        <v>2.5</v>
      </c>
      <c r="F12" s="43">
        <f>IF(SUM('Баллы, оценки'!$B28:$E28)&gt;=3.5,5,IF(AND(SUM('Баллы, оценки'!$B28:$E28)&gt;2.5,(SUM('Баллы, оценки'!$B28:$E28)&lt;3.5)),4,IF(AND(SUM('Баллы, оценки'!$B28:$E28)&lt;=2.5,(SUM('Баллы, оценки'!$B28:$E28)&gt;1.5)),3,2)))</f>
        <v>5</v>
      </c>
      <c r="G12" s="42">
        <v>0.5</v>
      </c>
      <c r="H12" s="44">
        <v>0.5</v>
      </c>
      <c r="I12" s="42">
        <v>0.5</v>
      </c>
      <c r="J12" s="44">
        <v>2</v>
      </c>
      <c r="K12" s="43">
        <f>IF(SUM('Баллы, оценки'!$G28:$J28)&gt;=3.5,5,IF(AND(SUM('Баллы, оценки'!$G28:$J28)&gt;2.5,(SUM('Баллы, оценки'!$G28:$J28)&lt;3.5)),4,IF(AND(SUM('Баллы, оценки'!$G28:$J28)&lt;=2.5,(SUM('Баллы, оценки'!$G28:$J28)&gt;1.5)),3,2)))</f>
        <v>2</v>
      </c>
      <c r="L12" s="42">
        <v>0.5</v>
      </c>
      <c r="M12" s="42">
        <v>0.5</v>
      </c>
      <c r="N12" s="42">
        <v>0.5</v>
      </c>
      <c r="O12" s="41"/>
      <c r="P12" s="43">
        <f>IF(SUM('Баллы, оценки'!$L28:$O28)&gt;=3.5,5,IF(AND(SUM('Баллы, оценки'!$L28:$O28)&gt;2.5,(SUM('Баллы, оценки'!$L28:$O28)&lt;3.5)),4,IF(AND(SUM('Баллы, оценки'!$L28:$O28)&lt;=2.5,(SUM('Баллы, оценки'!$L28:$O28)&gt;1.5)),3,2)))</f>
        <v>2</v>
      </c>
      <c r="Q12" s="41"/>
      <c r="R12" s="41"/>
      <c r="S12" s="41"/>
      <c r="T12" s="41"/>
      <c r="U12" s="43">
        <f>IF(SUM('Баллы, оценки'!$Q28:$T28)&gt;=3.5,5,IF(AND(SUM('Баллы, оценки'!$Q28:$T28)&gt;2.5,(SUM('Баллы, оценки'!$Q28:$T28)&lt;3.5)),4,IF(AND(SUM('Баллы, оценки'!$Q28:$T28)&lt;=2.5,(SUM('Баллы, оценки'!$Q28:$T28)&gt;1.5)),3,2)))</f>
        <v>2</v>
      </c>
      <c r="V12" s="32">
        <v>0.5</v>
      </c>
      <c r="W12" s="45"/>
      <c r="X12" s="45"/>
      <c r="Y12" s="45"/>
      <c r="Z12" s="45"/>
      <c r="AA12" s="45"/>
      <c r="AB12" s="45"/>
      <c r="AC12" s="46"/>
      <c r="AD12" s="46"/>
      <c r="AE12" s="46"/>
      <c r="AF12" s="46"/>
      <c r="AG12" s="47"/>
      <c r="AH12" s="41"/>
      <c r="AI12" s="41"/>
      <c r="AJ12" s="41"/>
      <c r="AK12" s="41"/>
      <c r="AL12" s="43">
        <f>SUM('Баллы, оценки'!$B28:$E28,'Баллы, оценки'!$G28:$J28,'Баллы, оценки'!$L28:$O28,'Баллы, оценки'!$Q28:$T28,'Баллы, оценки'!$V28:$AF28,AH12:AK12)</f>
        <v>5</v>
      </c>
      <c r="AM12" s="48">
        <f>32-COUNTA(B12:E12,G12:I12,L12:O12,Q12:T12,V12:AF12,AH12:AK12)</f>
        <v>22</v>
      </c>
      <c r="AN12" s="36"/>
      <c r="AO12" s="37"/>
      <c r="AP12" s="37"/>
      <c r="AQ12" s="49"/>
      <c r="AR12" s="50">
        <v>4</v>
      </c>
      <c r="AS12" s="49"/>
      <c r="AT12" s="49"/>
      <c r="AU12" s="48" t="e">
        <f>IF(AND('Баллы, оценки'!$AL28&lt;=38,'Баллы, оценки'!$AL28&gt;=31),5,IF(AND('Баллы, оценки'!$AL28&lt;=30.9,'Баллы, оценки'!$AL28&gt;=25),4,IF(AND('Баллы, оценки'!$AL28&lt;=24.9,'Баллы, оценки'!$AL28&gt;=21),3,н/а)))</f>
        <v>#NAME?</v>
      </c>
    </row>
    <row r="13" spans="1:47" ht="21.75" customHeight="1">
      <c r="A13" s="40" t="s">
        <v>59</v>
      </c>
      <c r="B13" s="42"/>
      <c r="C13" s="42">
        <v>0.5</v>
      </c>
      <c r="D13" s="42">
        <v>0.5</v>
      </c>
      <c r="E13" s="42">
        <v>2.5</v>
      </c>
      <c r="F13" s="43">
        <f>IF(SUM('Баллы, оценки'!$B10:$E10)&gt;=3.5,5,IF(AND(SUM('Баллы, оценки'!$B10:$E10)&gt;2.5,(SUM('Баллы, оценки'!$B10:$E10)&lt;3.5)),4,IF(AND(SUM('Баллы, оценки'!$B10:$E10)&lt;=2.5,(SUM('Баллы, оценки'!$B10:$E10)&gt;1.5)),3,2)))</f>
        <v>5</v>
      </c>
      <c r="G13" s="42">
        <v>0.5</v>
      </c>
      <c r="H13" s="47">
        <v>0.5</v>
      </c>
      <c r="I13" s="42">
        <v>0.5</v>
      </c>
      <c r="J13" s="47">
        <v>1.5</v>
      </c>
      <c r="K13" s="43">
        <f>IF(SUM('Баллы, оценки'!$G10:$J10)&gt;=3.5,5,IF(AND(SUM('Баллы, оценки'!$G10:$J10)&gt;2.5,(SUM('Баллы, оценки'!$G10:$J10)&lt;3.5)),4,IF(AND(SUM('Баллы, оценки'!$G10:$J10)&lt;=2.5,(SUM('Баллы, оценки'!$G10:$J10)&gt;1.5)),3,2)))</f>
        <v>5</v>
      </c>
      <c r="L13" s="42">
        <v>0.5</v>
      </c>
      <c r="M13" s="42">
        <v>0.5</v>
      </c>
      <c r="N13" s="42">
        <v>0.5</v>
      </c>
      <c r="O13" s="42"/>
      <c r="P13" s="43">
        <f>IF(SUM('Баллы, оценки'!$L10:$O10)&gt;=3.5,5,IF(AND(SUM('Баллы, оценки'!$L10:$O10)&gt;2.5,(SUM('Баллы, оценки'!$L10:$O10)&lt;3.5)),4,IF(AND(SUM('Баллы, оценки'!$L10:$O10)&lt;=2.5,(SUM('Баллы, оценки'!$L10:$O10)&gt;1.5)),3,2)))</f>
        <v>2</v>
      </c>
      <c r="Q13" s="42"/>
      <c r="R13" s="42"/>
      <c r="S13" s="42"/>
      <c r="T13" s="42"/>
      <c r="U13" s="43">
        <f>IF(SUM('Баллы, оценки'!$Q10:$T10)&gt;=3.5,5,IF(AND(SUM('Баллы, оценки'!$Q10:$T10)&gt;2.5,(SUM('Баллы, оценки'!$Q10:$T10)&lt;3.5)),4,IF(AND(SUM('Баллы, оценки'!$Q10:$T10)&lt;=2.5,(SUM('Баллы, оценки'!$Q10:$T10)&gt;1.5)),3,2)))</f>
        <v>2</v>
      </c>
      <c r="V13" s="32">
        <v>0.5</v>
      </c>
      <c r="W13" s="45"/>
      <c r="X13" s="45"/>
      <c r="Y13" s="45"/>
      <c r="Z13" s="45"/>
      <c r="AA13" s="45"/>
      <c r="AB13" s="45"/>
      <c r="AC13" s="46"/>
      <c r="AD13" s="46"/>
      <c r="AE13" s="46"/>
      <c r="AF13" s="46"/>
      <c r="AG13" s="47"/>
      <c r="AH13" s="42"/>
      <c r="AI13" s="42"/>
      <c r="AJ13" s="42"/>
      <c r="AK13" s="42"/>
      <c r="AL13" s="43">
        <f>SUM('Баллы, оценки'!$B10:$E10,'Баллы, оценки'!$G10:$J10,'Баллы, оценки'!$L10:$O10,'Баллы, оценки'!$Q10:$T10,'Баллы, оценки'!$V10:$AF10,AH13:AK13)</f>
        <v>9</v>
      </c>
      <c r="AM13" s="48">
        <f>32-COUNTA(B13:E13,G13:I13,L13:O13,Q13:T13,V13:AF13,AH13:AK13)</f>
        <v>22</v>
      </c>
      <c r="AN13" s="36"/>
      <c r="AO13" s="37"/>
      <c r="AP13" s="37"/>
      <c r="AQ13" s="49"/>
      <c r="AR13" s="51" t="s">
        <v>60</v>
      </c>
      <c r="AS13" s="49"/>
      <c r="AT13" s="49"/>
      <c r="AU13" s="48" t="e">
        <f>IF(AND('Баллы, оценки'!$AL10&lt;=38,'Баллы, оценки'!$AL10&gt;=31),5,IF(AND('Баллы, оценки'!$AL10&lt;=30.9,'Баллы, оценки'!$AL10&gt;=25),4,IF(AND('Баллы, оценки'!$AL10&lt;=24.9,'Баллы, оценки'!$AL10&gt;=21),3,н/а)))</f>
        <v>#NAME?</v>
      </c>
    </row>
    <row r="14" spans="1:47" ht="21.75" customHeight="1">
      <c r="A14" s="27" t="s">
        <v>52</v>
      </c>
      <c r="B14" s="29">
        <v>0.5</v>
      </c>
      <c r="C14" s="29">
        <v>0.5</v>
      </c>
      <c r="D14" s="29">
        <v>0.5</v>
      </c>
      <c r="E14" s="29">
        <v>2.5</v>
      </c>
      <c r="F14" s="30">
        <f>IF(SUM('Баллы, оценки'!$B3:$E3)&gt;=3.5,5,IF(AND(SUM('Баллы, оценки'!$B3:$E3)&gt;2.5,(SUM('Баллы, оценки'!$B3:$E3)&lt;3.5)),4,IF(AND(SUM('Баллы, оценки'!$B3:$E3)&lt;=2.5,(SUM('Баллы, оценки'!$B3:$E3)&gt;1.5)),3,2)))</f>
        <v>5</v>
      </c>
      <c r="G14" s="29">
        <v>0.5</v>
      </c>
      <c r="H14" s="34">
        <v>0.5</v>
      </c>
      <c r="I14" s="29">
        <v>0.5</v>
      </c>
      <c r="J14" s="34">
        <v>1</v>
      </c>
      <c r="K14" s="30">
        <f>IF(SUM('Баллы, оценки'!$G3:$J3)&gt;=3.5,5,IF(AND(SUM('Баллы, оценки'!$G3:$J3)&gt;2.5,(SUM('Баллы, оценки'!$G3:$J3)&lt;3.5)),4,IF(AND(SUM('Баллы, оценки'!$G3:$J3)&lt;=2.5,(SUM('Баллы, оценки'!$G3:$J3)&gt;1.5)),3,2)))</f>
        <v>5</v>
      </c>
      <c r="L14" s="29">
        <v>0.5</v>
      </c>
      <c r="M14" s="29">
        <v>0.5</v>
      </c>
      <c r="N14" s="29">
        <v>0.5</v>
      </c>
      <c r="O14" s="29"/>
      <c r="P14" s="30">
        <f>IF(SUM('Баллы, оценки'!$L3:$O3)&gt;=3.5,5,IF(AND(SUM('Баллы, оценки'!$L3:$O3)&gt;2.5,(SUM('Баллы, оценки'!$L3:$O3)&lt;3.5)),4,IF(AND(SUM('Баллы, оценки'!$L3:$O3)&lt;=2.5,(SUM('Баллы, оценки'!$L3:$O3)&gt;1.5)),3,2)))</f>
        <v>2</v>
      </c>
      <c r="Q14" s="29"/>
      <c r="R14" s="29"/>
      <c r="S14" s="29"/>
      <c r="T14" s="29"/>
      <c r="U14" s="30">
        <f>IF(SUM('Баллы, оценки'!$Q3:$T3)&gt;=3.5,5,IF(AND(SUM('Баллы, оценки'!$Q3:$T3)&gt;2.5,(SUM('Баллы, оценки'!$Q3:$T3)&lt;3.5)),4,IF(AND(SUM('Баллы, оценки'!$Q3:$T3)&lt;=2.5,(SUM('Баллы, оценки'!$Q3:$T3)&gt;1.5)),3,2)))</f>
        <v>2</v>
      </c>
      <c r="V14" s="32"/>
      <c r="W14" s="45"/>
      <c r="X14" s="45"/>
      <c r="Y14" s="45"/>
      <c r="Z14" s="45"/>
      <c r="AA14" s="45"/>
      <c r="AB14" s="45"/>
      <c r="AC14" s="46"/>
      <c r="AD14" s="46"/>
      <c r="AE14" s="46"/>
      <c r="AF14" s="46"/>
      <c r="AG14" s="34"/>
      <c r="AH14" s="29"/>
      <c r="AI14" s="29"/>
      <c r="AJ14" s="29"/>
      <c r="AK14" s="29"/>
      <c r="AL14" s="30">
        <f>SUM('Баллы, оценки'!$B3:$E3,'Баллы, оценки'!$G3:$J3,'Баллы, оценки'!$L3:$O3,'Баллы, оценки'!$Q3:$T3,'Баллы, оценки'!$V3:$AF3,AH14:AK14)</f>
        <v>10.3</v>
      </c>
      <c r="AM14" s="35">
        <f>32-COUNTA(B14:E14,G14:I14,L14:O14,Q14:T14,V14:AF14,AH14:AK14)</f>
        <v>22</v>
      </c>
      <c r="AN14" s="36"/>
      <c r="AO14" s="37"/>
      <c r="AP14" s="37"/>
      <c r="AQ14" s="38"/>
      <c r="AR14" s="53">
        <v>4</v>
      </c>
      <c r="AS14" s="38"/>
      <c r="AT14" s="38"/>
      <c r="AU14" s="35" t="e">
        <f>IF(AND('Баллы, оценки'!$AL3&lt;=38,'Баллы, оценки'!$AL3&gt;=31),5,IF(AND('Баллы, оценки'!$AL3&lt;=30.9,'Баллы, оценки'!$AL3&gt;=25),4,IF(AND('Баллы, оценки'!$AL3&lt;=24.9,'Баллы, оценки'!$AL3&gt;=21),3,н/а)))</f>
        <v>#NAME?</v>
      </c>
    </row>
    <row r="15" spans="1:47" ht="21.75" customHeight="1">
      <c r="A15" s="27" t="s">
        <v>63</v>
      </c>
      <c r="B15" s="28">
        <v>0.5</v>
      </c>
      <c r="C15" s="28">
        <v>0.5</v>
      </c>
      <c r="D15" s="28">
        <v>0.5</v>
      </c>
      <c r="E15" s="29">
        <v>2.5</v>
      </c>
      <c r="F15" s="30">
        <f>IF(SUM('Баллы, оценки'!$B13:$E13)&gt;=3.5,5,IF(AND(SUM('Баллы, оценки'!$B13:$E13)&gt;2.5,(SUM('Баллы, оценки'!$B13:$E13)&lt;3.5)),4,IF(AND(SUM('Баллы, оценки'!$B13:$E13)&lt;=2.5,(SUM('Баллы, оценки'!$B13:$E13)&gt;1.5)),3,2)))</f>
        <v>5</v>
      </c>
      <c r="G15" s="29">
        <v>0.5</v>
      </c>
      <c r="H15" s="31">
        <v>0.5</v>
      </c>
      <c r="I15" s="29">
        <v>0.5</v>
      </c>
      <c r="J15" s="31">
        <v>0.5</v>
      </c>
      <c r="K15" s="30">
        <f>IF(SUM('Баллы, оценки'!$G13:$J13)&gt;=3.5,5,IF(AND(SUM('Баллы, оценки'!$G13:$J13)&gt;2.5,(SUM('Баллы, оценки'!$G13:$J13)&lt;3.5)),4,IF(AND(SUM('Баллы, оценки'!$G13:$J13)&lt;=2.5,(SUM('Баллы, оценки'!$G13:$J13)&gt;1.5)),3,2)))</f>
        <v>4</v>
      </c>
      <c r="L15" s="29">
        <v>0.5</v>
      </c>
      <c r="M15" s="29">
        <v>0.5</v>
      </c>
      <c r="N15" s="29">
        <v>0.5</v>
      </c>
      <c r="O15" s="28"/>
      <c r="P15" s="30">
        <f>IF(SUM('Баллы, оценки'!$L13:$O13)&gt;=3.5,5,IF(AND(SUM('Баллы, оценки'!$L13:$O13)&gt;2.5,(SUM('Баллы, оценки'!$L13:$O13)&lt;3.5)),4,IF(AND(SUM('Баллы, оценки'!$L13:$O13)&lt;=2.5,(SUM('Баллы, оценки'!$L13:$O13)&gt;1.5)),3,2)))</f>
        <v>2</v>
      </c>
      <c r="Q15" s="28"/>
      <c r="R15" s="28"/>
      <c r="S15" s="28"/>
      <c r="T15" s="28"/>
      <c r="U15" s="30">
        <f>IF(SUM('Баллы, оценки'!$Q13:$T13)&gt;=3.5,5,IF(AND(SUM('Баллы, оценки'!$Q13:$T13)&gt;2.5,(SUM('Баллы, оценки'!$Q13:$T13)&lt;3.5)),4,IF(AND(SUM('Баллы, оценки'!$Q13:$T13)&lt;=2.5,(SUM('Баллы, оценки'!$Q13:$T13)&gt;1.5)),3,2)))</f>
        <v>2</v>
      </c>
      <c r="V15" s="32">
        <v>0.5</v>
      </c>
      <c r="W15" s="45"/>
      <c r="X15" s="45"/>
      <c r="Y15" s="45"/>
      <c r="Z15" s="45"/>
      <c r="AA15" s="45"/>
      <c r="AB15" s="45"/>
      <c r="AC15" s="46"/>
      <c r="AD15" s="46"/>
      <c r="AE15" s="46"/>
      <c r="AF15" s="46"/>
      <c r="AG15" s="34"/>
      <c r="AH15" s="28"/>
      <c r="AI15" s="28"/>
      <c r="AJ15" s="28"/>
      <c r="AK15" s="28"/>
      <c r="AL15" s="30">
        <f>SUM('Баллы, оценки'!$B13:$E13,'Баллы, оценки'!$G13:$J13,'Баллы, оценки'!$L13:$O13,'Баллы, оценки'!$Q13:$T13,'Баллы, оценки'!$V13:$AF13,AH15:AK15)</f>
        <v>8.5</v>
      </c>
      <c r="AM15" s="35">
        <f>32-COUNTA(B15:E15,G15:I15,L15:O15,Q15:T15,V15:AF15,AH15:AK15)</f>
        <v>21</v>
      </c>
      <c r="AN15" s="36"/>
      <c r="AO15" s="37"/>
      <c r="AP15" s="37"/>
      <c r="AQ15" s="38"/>
      <c r="AR15" s="39">
        <v>4</v>
      </c>
      <c r="AS15" s="38"/>
      <c r="AT15" s="38"/>
      <c r="AU15" s="35" t="e">
        <f>IF(AND('Баллы, оценки'!$AL13&lt;=38,'Баллы, оценки'!$AL13&gt;=31),5,IF(AND('Баллы, оценки'!$AL13&lt;=30.9,'Баллы, оценки'!$AL13&gt;=25),4,IF(AND('Баллы, оценки'!$AL13&lt;=24.9,'Баллы, оценки'!$AL13&gt;=21),3,н/а)))</f>
        <v>#NAME?</v>
      </c>
    </row>
    <row r="16" spans="1:47" ht="21.75" customHeight="1">
      <c r="A16" s="27" t="s">
        <v>65</v>
      </c>
      <c r="B16" s="29">
        <v>0.5</v>
      </c>
      <c r="C16" s="29">
        <v>0.5</v>
      </c>
      <c r="D16" s="29">
        <v>0.5</v>
      </c>
      <c r="E16" s="29">
        <v>2.5</v>
      </c>
      <c r="F16" s="30">
        <f>IF(SUM('Баллы, оценки'!$B15:$E15)&gt;=3.5,5,IF(AND(SUM('Баллы, оценки'!$B15:$E15)&gt;2.5,(SUM('Баллы, оценки'!$B15:$E15)&lt;3.5)),4,IF(AND(SUM('Баллы, оценки'!$B15:$E15)&lt;=2.5,(SUM('Баллы, оценки'!$B15:$E15)&gt;1.5)),3,2)))</f>
        <v>5</v>
      </c>
      <c r="G16" s="29">
        <v>0.5</v>
      </c>
      <c r="H16" s="34">
        <v>0.5</v>
      </c>
      <c r="I16" s="29">
        <v>0.5</v>
      </c>
      <c r="J16" s="34">
        <v>0.5</v>
      </c>
      <c r="K16" s="30">
        <f>IF(SUM('Баллы, оценки'!$G15:$J15)&gt;=3.5,5,IF(AND(SUM('Баллы, оценки'!$G15:$J15)&gt;2.5,(SUM('Баллы, оценки'!$G15:$J15)&lt;3.5)),4,IF(AND(SUM('Баллы, оценки'!$G15:$J15)&lt;=2.5,(SUM('Баллы, оценки'!$G15:$J15)&gt;1.5)),3,2)))</f>
        <v>3</v>
      </c>
      <c r="L16" s="29">
        <v>0.5</v>
      </c>
      <c r="M16" s="29">
        <v>0.5</v>
      </c>
      <c r="N16" s="29">
        <v>0.5</v>
      </c>
      <c r="O16" s="29"/>
      <c r="P16" s="30">
        <f>IF(SUM('Баллы, оценки'!$L15:$O15)&gt;=3.5,5,IF(AND(SUM('Баллы, оценки'!$L15:$O15)&gt;2.5,(SUM('Баллы, оценки'!$L15:$O15)&lt;3.5)),4,IF(AND(SUM('Баллы, оценки'!$L15:$O15)&lt;=2.5,(SUM('Баллы, оценки'!$L15:$O15)&gt;1.5)),3,2)))</f>
        <v>2</v>
      </c>
      <c r="Q16" s="29"/>
      <c r="R16" s="29"/>
      <c r="S16" s="29"/>
      <c r="T16" s="29"/>
      <c r="U16" s="30">
        <f>IF(SUM('Баллы, оценки'!$Q15:$T15)&gt;=3.5,5,IF(AND(SUM('Баллы, оценки'!$Q15:$T15)&gt;2.5,(SUM('Баллы, оценки'!$Q15:$T15)&lt;3.5)),4,IF(AND(SUM('Баллы, оценки'!$Q15:$T15)&lt;=2.5,(SUM('Баллы, оценки'!$Q15:$T15)&gt;1.5)),3,2)))</f>
        <v>2</v>
      </c>
      <c r="V16" s="32">
        <v>0.5</v>
      </c>
      <c r="W16" s="45"/>
      <c r="X16" s="45"/>
      <c r="Y16" s="45"/>
      <c r="Z16" s="45"/>
      <c r="AA16" s="45"/>
      <c r="AB16" s="45"/>
      <c r="AC16" s="46"/>
      <c r="AD16" s="46"/>
      <c r="AE16" s="46"/>
      <c r="AF16" s="46"/>
      <c r="AG16" s="34"/>
      <c r="AH16" s="29"/>
      <c r="AI16" s="29"/>
      <c r="AJ16" s="29"/>
      <c r="AK16" s="29"/>
      <c r="AL16" s="30">
        <f>SUM('Баллы, оценки'!$B15:$E15,'Баллы, оценки'!$G15:$J15,'Баллы, оценки'!$L15:$O15,'Баллы, оценки'!$Q15:$T15,'Баллы, оценки'!$V15:$AF15,AH16:AK16)</f>
        <v>8</v>
      </c>
      <c r="AM16" s="35">
        <f>32-COUNTA(B16:E16,G16:I16,L16:O16,Q16:T16,V16:AF16,AH16:AK16)</f>
        <v>21</v>
      </c>
      <c r="AN16" s="52"/>
      <c r="AO16" s="37"/>
      <c r="AP16" s="37"/>
      <c r="AQ16" s="38"/>
      <c r="AR16" s="53">
        <v>4</v>
      </c>
      <c r="AS16" s="38"/>
      <c r="AT16" s="38"/>
      <c r="AU16" s="35" t="e">
        <f>IF(AND('Баллы, оценки'!$AL15&lt;=38,'Баллы, оценки'!$AL15&gt;=31),5,IF(AND('Баллы, оценки'!$AL15&lt;=30.9,'Баллы, оценки'!$AL15&gt;=25),4,IF(AND('Баллы, оценки'!$AL15&lt;=24.9,'Баллы, оценки'!$AL15&gt;=21),3,н/а)))</f>
        <v>#NAME?</v>
      </c>
    </row>
    <row r="17" spans="1:47" ht="21.75" customHeight="1">
      <c r="A17" s="27" t="s">
        <v>75</v>
      </c>
      <c r="B17" s="28">
        <v>0.5</v>
      </c>
      <c r="C17" s="28">
        <v>0.5</v>
      </c>
      <c r="D17" s="28">
        <v>0.5</v>
      </c>
      <c r="E17" s="28">
        <v>2</v>
      </c>
      <c r="F17" s="30">
        <f>IF(SUM('Баллы, оценки'!$B25:$E25)&gt;=3.5,5,IF(AND(SUM('Баллы, оценки'!$B25:$E25)&gt;2.5,(SUM('Баллы, оценки'!$B25:$E25)&lt;3.5)),4,IF(AND(SUM('Баллы, оценки'!$B25:$E25)&lt;=2.5,(SUM('Баллы, оценки'!$B25:$E25)&gt;1.5)),3,2)))</f>
        <v>5</v>
      </c>
      <c r="G17" s="29">
        <v>0.5</v>
      </c>
      <c r="H17" s="31">
        <v>0.5</v>
      </c>
      <c r="I17" s="29">
        <v>0.5</v>
      </c>
      <c r="J17" s="31">
        <v>1</v>
      </c>
      <c r="K17" s="30">
        <f>IF(SUM('Баллы, оценки'!$G25:$J25)&gt;=3.5,5,IF(AND(SUM('Баллы, оценки'!$G25:$J25)&gt;2.5,(SUM('Баллы, оценки'!$G25:$J25)&lt;3.5)),4,IF(AND(SUM('Баллы, оценки'!$G25:$J25)&lt;=2.5,(SUM('Баллы, оценки'!$G25:$J25)&gt;1.5)),3,2)))</f>
        <v>2</v>
      </c>
      <c r="L17" s="29">
        <v>0.5</v>
      </c>
      <c r="M17" s="29">
        <v>0.5</v>
      </c>
      <c r="N17" s="29">
        <v>0.5</v>
      </c>
      <c r="O17" s="28"/>
      <c r="P17" s="30">
        <f>IF(SUM('Баллы, оценки'!$L25:$O25)&gt;=3.5,5,IF(AND(SUM('Баллы, оценки'!$L25:$O25)&gt;2.5,(SUM('Баллы, оценки'!$L25:$O25)&lt;3.5)),4,IF(AND(SUM('Баллы, оценки'!$L25:$O25)&lt;=2.5,(SUM('Баллы, оценки'!$L25:$O25)&gt;1.5)),3,2)))</f>
        <v>2</v>
      </c>
      <c r="Q17" s="28"/>
      <c r="R17" s="28"/>
      <c r="S17" s="28"/>
      <c r="T17" s="28"/>
      <c r="U17" s="30">
        <f>IF(SUM('Баллы, оценки'!$Q25:$T25)&gt;=3.5,5,IF(AND(SUM('Баллы, оценки'!$Q25:$T25)&gt;2.5,(SUM('Баллы, оценки'!$Q25:$T25)&lt;3.5)),4,IF(AND(SUM('Баллы, оценки'!$Q25:$T25)&lt;=2.5,(SUM('Баллы, оценки'!$Q25:$T25)&gt;1.5)),3,2)))</f>
        <v>2</v>
      </c>
      <c r="V17" s="32">
        <v>0.5</v>
      </c>
      <c r="W17" s="45"/>
      <c r="X17" s="45"/>
      <c r="Y17" s="45"/>
      <c r="Z17" s="45"/>
      <c r="AA17" s="45"/>
      <c r="AB17" s="45"/>
      <c r="AC17" s="46"/>
      <c r="AD17" s="46"/>
      <c r="AE17" s="46"/>
      <c r="AF17" s="46"/>
      <c r="AG17" s="34"/>
      <c r="AH17" s="28"/>
      <c r="AI17" s="28"/>
      <c r="AJ17" s="28"/>
      <c r="AK17" s="28"/>
      <c r="AL17" s="30">
        <f>SUM('Баллы, оценки'!$B25:$E25,'Баллы, оценки'!$G25:$J25,'Баллы, оценки'!$L25:$O25,'Баллы, оценки'!$Q25:$T25,'Баллы, оценки'!$V25:$AF25,AH17:AK17)</f>
        <v>6</v>
      </c>
      <c r="AM17" s="35">
        <f>32-COUNTA(B17:E17,G17:I17,L17:O17,Q17:T17,V17:AF17,AH17:AK17)</f>
        <v>21</v>
      </c>
      <c r="AN17" s="36"/>
      <c r="AO17" s="37"/>
      <c r="AP17" s="37"/>
      <c r="AQ17" s="38"/>
      <c r="AR17" s="39">
        <v>4</v>
      </c>
      <c r="AS17" s="38"/>
      <c r="AT17" s="38"/>
      <c r="AU17" s="35" t="e">
        <f>IF(AND('Баллы, оценки'!$AL25&lt;=38,'Баллы, оценки'!$AL25&gt;=31),5,IF(AND('Баллы, оценки'!$AL25&lt;=30.9,'Баллы, оценки'!$AL25&gt;=25),4,IF(AND('Баллы, оценки'!$AL25&lt;=24.9,'Баллы, оценки'!$AL25&gt;=21),3,н/а)))</f>
        <v>#NAME?</v>
      </c>
    </row>
    <row r="18" spans="1:47" ht="21.75" customHeight="1">
      <c r="A18" s="27" t="s">
        <v>54</v>
      </c>
      <c r="B18" s="29">
        <v>0.5</v>
      </c>
      <c r="C18" s="29">
        <v>0.5</v>
      </c>
      <c r="D18" s="29">
        <v>0.5</v>
      </c>
      <c r="E18" s="29">
        <v>2</v>
      </c>
      <c r="F18" s="30">
        <f>IF(SUM('Баллы, оценки'!$B5:$E5)&gt;=3.5,5,IF(AND(SUM('Баллы, оценки'!$B5:$E5)&gt;2.5,(SUM('Баллы, оценки'!$B5:$E5)&lt;3.5)),4,IF(AND(SUM('Баллы, оценки'!$B5:$E5)&lt;=2.5,(SUM('Баллы, оценки'!$B5:$E5)&gt;1.5)),3,2)))</f>
        <v>5</v>
      </c>
      <c r="G18" s="29">
        <v>0.5</v>
      </c>
      <c r="H18" s="34">
        <v>0.5</v>
      </c>
      <c r="I18" s="29">
        <v>0.5</v>
      </c>
      <c r="J18" s="34">
        <v>0.5</v>
      </c>
      <c r="K18" s="30">
        <f>IF(SUM('Баллы, оценки'!$G5:$J5)&gt;=3.5,5,IF(AND(SUM('Баллы, оценки'!$G5:$J5)&gt;2.5,(SUM('Баллы, оценки'!$G5:$J5)&lt;3.5)),4,IF(AND(SUM('Баллы, оценки'!$G5:$J5)&lt;=2.5,(SUM('Баллы, оценки'!$G5:$J5)&gt;1.5)),3,2)))</f>
        <v>5</v>
      </c>
      <c r="L18" s="29">
        <v>0.5</v>
      </c>
      <c r="M18" s="29">
        <v>0.5</v>
      </c>
      <c r="N18" s="29">
        <v>0.5</v>
      </c>
      <c r="O18" s="29"/>
      <c r="P18" s="30">
        <f>IF(SUM('Баллы, оценки'!$L5:$O5)&gt;=3.5,5,IF(AND(SUM('Баллы, оценки'!$L5:$O5)&gt;2.5,(SUM('Баллы, оценки'!$L5:$O5)&lt;3.5)),4,IF(AND(SUM('Баллы, оценки'!$L5:$O5)&lt;=2.5,(SUM('Баллы, оценки'!$L5:$O5)&gt;1.5)),3,2)))</f>
        <v>2</v>
      </c>
      <c r="Q18" s="29"/>
      <c r="R18" s="29"/>
      <c r="S18" s="29"/>
      <c r="T18" s="29"/>
      <c r="U18" s="30">
        <f>IF(SUM('Баллы, оценки'!$Q5:$T5)&gt;=3.5,5,IF(AND(SUM('Баллы, оценки'!$Q5:$T5)&gt;2.5,(SUM('Баллы, оценки'!$Q5:$T5)&lt;3.5)),4,IF(AND(SUM('Баллы, оценки'!$Q5:$T5)&lt;=2.5,(SUM('Баллы, оценки'!$Q5:$T5)&gt;1.5)),3,2)))</f>
        <v>2</v>
      </c>
      <c r="V18" s="32">
        <v>0.5</v>
      </c>
      <c r="W18" s="45"/>
      <c r="X18" s="45"/>
      <c r="Y18" s="45"/>
      <c r="Z18" s="45"/>
      <c r="AA18" s="45"/>
      <c r="AB18" s="45"/>
      <c r="AC18" s="46"/>
      <c r="AD18" s="46"/>
      <c r="AE18" s="46"/>
      <c r="AF18" s="46"/>
      <c r="AG18" s="34"/>
      <c r="AH18" s="29"/>
      <c r="AI18" s="29"/>
      <c r="AJ18" s="29"/>
      <c r="AK18" s="29"/>
      <c r="AL18" s="30">
        <f>SUM('Баллы, оценки'!$B5:$E5,'Баллы, оценки'!$G5:$J5,'Баллы, оценки'!$L5:$O5,'Баллы, оценки'!$Q5:$T5,'Баллы, оценки'!$V5:$AF5,AH18:AK18)</f>
        <v>10</v>
      </c>
      <c r="AM18" s="35">
        <f>32-COUNTA(B18:E18,G18:I18,L18:O18,Q18:T18,V18:AF18,AH18:AK18)</f>
        <v>21</v>
      </c>
      <c r="AN18" s="36"/>
      <c r="AO18" s="37"/>
      <c r="AP18" s="37"/>
      <c r="AQ18" s="38"/>
      <c r="AR18" s="53">
        <v>4</v>
      </c>
      <c r="AS18" s="38"/>
      <c r="AT18" s="38"/>
      <c r="AU18" s="35" t="e">
        <f>IF(AND('Баллы, оценки'!$AL5&lt;=38,'Баллы, оценки'!$AL5&gt;=31),5,IF(AND('Баллы, оценки'!$AL5&lt;=30.9,'Баллы, оценки'!$AL5&gt;=25),4,IF(AND('Баллы, оценки'!$AL5&lt;=24.9,'Баллы, оценки'!$AL5&gt;=21),3,н/а)))</f>
        <v>#NAME?</v>
      </c>
    </row>
    <row r="19" spans="1:47" ht="21.75" customHeight="1">
      <c r="A19" s="40" t="s">
        <v>64</v>
      </c>
      <c r="B19" s="42">
        <v>0.5</v>
      </c>
      <c r="C19" s="42">
        <v>0.5</v>
      </c>
      <c r="D19" s="42">
        <v>0.5</v>
      </c>
      <c r="E19" s="42">
        <v>0.5</v>
      </c>
      <c r="F19" s="43">
        <f>IF(SUM('Баллы, оценки'!$B14:$E14)&gt;=3.5,5,IF(AND(SUM('Баллы, оценки'!$B14:$E14)&gt;2.5,(SUM('Баллы, оценки'!$B14:$E14)&lt;3.5)),4,IF(AND(SUM('Баллы, оценки'!$B14:$E14)&lt;=2.5,(SUM('Баллы, оценки'!$B14:$E14)&gt;1.5)),3,2)))</f>
        <v>5</v>
      </c>
      <c r="G19" s="42">
        <v>0.5</v>
      </c>
      <c r="H19" s="47">
        <v>0.5</v>
      </c>
      <c r="I19" s="42">
        <v>0.5</v>
      </c>
      <c r="J19" s="47">
        <v>2</v>
      </c>
      <c r="K19" s="43">
        <f>IF(SUM('Баллы, оценки'!$G14:$J14)&gt;=3.5,5,IF(AND(SUM('Баллы, оценки'!$G14:$J14)&gt;2.5,(SUM('Баллы, оценки'!$G14:$J14)&lt;3.5)),4,IF(AND(SUM('Баллы, оценки'!$G14:$J14)&lt;=2.5,(SUM('Баллы, оценки'!$G14:$J14)&gt;1.5)),3,2)))</f>
        <v>3</v>
      </c>
      <c r="L19" s="42">
        <v>0.5</v>
      </c>
      <c r="M19" s="42">
        <v>0.5</v>
      </c>
      <c r="N19" s="42">
        <v>0.5</v>
      </c>
      <c r="O19" s="42"/>
      <c r="P19" s="43">
        <f>IF(SUM('Баллы, оценки'!$L14:$O14)&gt;=3.5,5,IF(AND(SUM('Баллы, оценки'!$L14:$O14)&gt;2.5,(SUM('Баллы, оценки'!$L14:$O14)&lt;3.5)),4,IF(AND(SUM('Баллы, оценки'!$L14:$O14)&lt;=2.5,(SUM('Баллы, оценки'!$L14:$O14)&gt;1.5)),3,2)))</f>
        <v>2</v>
      </c>
      <c r="Q19" s="42"/>
      <c r="R19" s="42"/>
      <c r="S19" s="42"/>
      <c r="T19" s="42"/>
      <c r="U19" s="43">
        <f>IF(SUM('Баллы, оценки'!$Q14:$T14)&gt;=3.5,5,IF(AND(SUM('Баллы, оценки'!$Q14:$T14)&gt;2.5,(SUM('Баллы, оценки'!$Q14:$T14)&lt;3.5)),4,IF(AND(SUM('Баллы, оценки'!$Q14:$T14)&lt;=2.5,(SUM('Баллы, оценки'!$Q14:$T14)&gt;1.5)),3,2)))</f>
        <v>2</v>
      </c>
      <c r="V19" s="32">
        <v>0.5</v>
      </c>
      <c r="W19" s="45"/>
      <c r="X19" s="45"/>
      <c r="Y19" s="45"/>
      <c r="Z19" s="45"/>
      <c r="AA19" s="45"/>
      <c r="AB19" s="45"/>
      <c r="AC19" s="46"/>
      <c r="AD19" s="46"/>
      <c r="AE19" s="46"/>
      <c r="AF19" s="46"/>
      <c r="AG19" s="47"/>
      <c r="AH19" s="42"/>
      <c r="AI19" s="42"/>
      <c r="AJ19" s="42"/>
      <c r="AK19" s="42"/>
      <c r="AL19" s="43">
        <f>SUM('Баллы, оценки'!$B14:$E14,'Баллы, оценки'!$G14:$J14,'Баллы, оценки'!$L14:$O14,'Баллы, оценки'!$Q14:$T14,'Баллы, оценки'!$V14:$AF14,AH19:AK19)</f>
        <v>8</v>
      </c>
      <c r="AM19" s="48">
        <f>32-COUNTA(B19:E19,G19:I19,L19:O19,Q19:T19,V19:AF19,AH19:AK19)</f>
        <v>21</v>
      </c>
      <c r="AN19" s="36"/>
      <c r="AO19" s="37"/>
      <c r="AP19" s="37"/>
      <c r="AQ19" s="49"/>
      <c r="AR19" s="51">
        <v>4</v>
      </c>
      <c r="AS19" s="49"/>
      <c r="AT19" s="49"/>
      <c r="AU19" s="48" t="e">
        <f>IF(AND('Баллы, оценки'!$AL14&lt;=38,'Баллы, оценки'!$AL14&gt;=31),5,IF(AND('Баллы, оценки'!$AL14&lt;=30.9,'Баллы, оценки'!$AL14&gt;=25),4,IF(AND('Баллы, оценки'!$AL14&lt;=24.9,'Баллы, оценки'!$AL14&gt;=21),3,н/а)))</f>
        <v>#NAME?</v>
      </c>
    </row>
    <row r="20" spans="1:47" ht="21.75" customHeight="1">
      <c r="A20" s="27" t="s">
        <v>61</v>
      </c>
      <c r="B20" s="29"/>
      <c r="C20" s="29">
        <v>0.5</v>
      </c>
      <c r="D20" s="29"/>
      <c r="E20" s="29">
        <v>0.5</v>
      </c>
      <c r="F20" s="30">
        <f>IF(SUM('Баллы, оценки'!$B11:$E11)&gt;=3.5,5,IF(AND(SUM('Баллы, оценки'!$B11:$E11)&gt;2.5,(SUM('Баллы, оценки'!$B11:$E11)&lt;3.5)),4,IF(AND(SUM('Баллы, оценки'!$B11:$E11)&lt;=2.5,(SUM('Баллы, оценки'!$B11:$E11)&gt;1.5)),3,2)))</f>
        <v>5</v>
      </c>
      <c r="G20" s="29">
        <v>0.5</v>
      </c>
      <c r="H20" s="34">
        <v>0.5</v>
      </c>
      <c r="I20" s="29">
        <v>0.5</v>
      </c>
      <c r="J20" s="34">
        <v>2.5</v>
      </c>
      <c r="K20" s="30">
        <f>IF(SUM('Баллы, оценки'!$G11:$J11)&gt;=3.5,5,IF(AND(SUM('Баллы, оценки'!$G11:$J11)&gt;2.5,(SUM('Баллы, оценки'!$G11:$J11)&lt;3.5)),4,IF(AND(SUM('Баллы, оценки'!$G11:$J11)&lt;=2.5,(SUM('Баллы, оценки'!$G11:$J11)&gt;1.5)),3,2)))</f>
        <v>4</v>
      </c>
      <c r="L20" s="29">
        <v>0.5</v>
      </c>
      <c r="M20" s="29">
        <v>0.5</v>
      </c>
      <c r="N20" s="29">
        <v>0.5</v>
      </c>
      <c r="O20" s="29"/>
      <c r="P20" s="30">
        <f>IF(SUM('Баллы, оценки'!$L11:$O11)&gt;=3.5,5,IF(AND(SUM('Баллы, оценки'!$L11:$O11)&gt;2.5,(SUM('Баллы, оценки'!$L11:$O11)&lt;3.5)),4,IF(AND(SUM('Баллы, оценки'!$L11:$O11)&lt;=2.5,(SUM('Баллы, оценки'!$L11:$O11)&gt;1.5)),3,2)))</f>
        <v>2</v>
      </c>
      <c r="Q20" s="29"/>
      <c r="R20" s="29"/>
      <c r="S20" s="29"/>
      <c r="T20" s="29"/>
      <c r="U20" s="30">
        <f>IF(SUM('Баллы, оценки'!$Q11:$T11)&gt;=3.5,5,IF(AND(SUM('Баллы, оценки'!$Q11:$T11)&gt;2.5,(SUM('Баллы, оценки'!$Q11:$T11)&lt;3.5)),4,IF(AND(SUM('Баллы, оценки'!$Q11:$T11)&lt;=2.5,(SUM('Баллы, оценки'!$Q11:$T11)&gt;1.5)),3,2)))</f>
        <v>2</v>
      </c>
      <c r="V20" s="32">
        <v>0.5</v>
      </c>
      <c r="W20" s="45"/>
      <c r="X20" s="45"/>
      <c r="Y20" s="45"/>
      <c r="Z20" s="45"/>
      <c r="AA20" s="45"/>
      <c r="AB20" s="45"/>
      <c r="AC20" s="46"/>
      <c r="AD20" s="46"/>
      <c r="AE20" s="46"/>
      <c r="AF20" s="46"/>
      <c r="AG20" s="34"/>
      <c r="AH20" s="29"/>
      <c r="AI20" s="29"/>
      <c r="AJ20" s="29"/>
      <c r="AK20" s="29"/>
      <c r="AL20" s="30">
        <f>SUM('Баллы, оценки'!$B11:$E11,'Баллы, оценки'!$G11:$J11,'Баллы, оценки'!$L11:$O11,'Баллы, оценки'!$Q11:$T11,'Баллы, оценки'!$V11:$AF11,AH20:AK20)</f>
        <v>9</v>
      </c>
      <c r="AM20" s="35">
        <f>32-COUNTA(B20:E20,G20:I20,L20:O20,Q20:T20,V20:AF20,AH20:AK20)</f>
        <v>23</v>
      </c>
      <c r="AN20" s="52"/>
      <c r="AO20" s="37"/>
      <c r="AP20" s="37"/>
      <c r="AQ20" s="38"/>
      <c r="AR20" s="53"/>
      <c r="AS20" s="38"/>
      <c r="AT20" s="38"/>
      <c r="AU20" s="35" t="e">
        <f>IF(AND('Баллы, оценки'!$AL11&lt;=38,'Баллы, оценки'!$AL11&gt;=31),5,IF(AND('Баллы, оценки'!$AL11&lt;=30.9,'Баллы, оценки'!$AL11&gt;=25),4,IF(AND('Баллы, оценки'!$AL11&lt;=24.9,'Баллы, оценки'!$AL11&gt;=21),3,н/а)))</f>
        <v>#NAME?</v>
      </c>
    </row>
    <row r="21" spans="1:47" ht="21.75" customHeight="1">
      <c r="A21" s="27" t="s">
        <v>71</v>
      </c>
      <c r="B21" s="28">
        <v>0.5</v>
      </c>
      <c r="C21" s="28">
        <v>0.5</v>
      </c>
      <c r="D21" s="28">
        <v>0.5</v>
      </c>
      <c r="E21" s="29">
        <v>2.5</v>
      </c>
      <c r="F21" s="30">
        <f>IF(SUM('Баллы, оценки'!$B21:$E21)&gt;=3.5,5,IF(AND(SUM('Баллы, оценки'!$B21:$E21)&gt;2.5,(SUM('Баллы, оценки'!$B21:$E21)&lt;3.5)),4,IF(AND(SUM('Баллы, оценки'!$B21:$E21)&lt;=2.5,(SUM('Баллы, оценки'!$B21:$E21)&gt;1.5)),3,2)))</f>
        <v>5</v>
      </c>
      <c r="G21" s="29"/>
      <c r="H21" s="31"/>
      <c r="I21" s="29"/>
      <c r="J21" s="31">
        <v>2</v>
      </c>
      <c r="K21" s="30">
        <f>IF(SUM('Баллы, оценки'!$G21:$J21)&gt;=3.5,5,IF(AND(SUM('Баллы, оценки'!$G21:$J21)&gt;2.5,(SUM('Баллы, оценки'!$G21:$J21)&lt;3.5)),4,IF(AND(SUM('Баллы, оценки'!$G21:$J21)&lt;=2.5,(SUM('Баллы, оценки'!$G21:$J21)&gt;1.5)),3,2)))</f>
        <v>3</v>
      </c>
      <c r="L21" s="29"/>
      <c r="M21" s="29"/>
      <c r="N21" s="29">
        <v>0.5</v>
      </c>
      <c r="O21" s="28"/>
      <c r="P21" s="30">
        <f>IF(SUM('Баллы, оценки'!$L21:$O21)&gt;=3.5,5,IF(AND(SUM('Баллы, оценки'!$L21:$O21)&gt;2.5,(SUM('Баллы, оценки'!$L21:$O21)&lt;3.5)),4,IF(AND(SUM('Баллы, оценки'!$L21:$O21)&lt;=2.5,(SUM('Баллы, оценки'!$L21:$O21)&gt;1.5)),3,2)))</f>
        <v>2</v>
      </c>
      <c r="Q21" s="28"/>
      <c r="R21" s="28"/>
      <c r="S21" s="28"/>
      <c r="T21" s="28"/>
      <c r="U21" s="30">
        <f>IF(SUM('Баллы, оценки'!$Q21:$T21)&gt;=3.5,5,IF(AND(SUM('Баллы, оценки'!$Q21:$T21)&gt;2.5,(SUM('Баллы, оценки'!$Q21:$T21)&lt;3.5)),4,IF(AND(SUM('Баллы, оценки'!$Q21:$T21)&lt;=2.5,(SUM('Баллы, оценки'!$Q21:$T21)&gt;1.5)),3,2)))</f>
        <v>2</v>
      </c>
      <c r="V21" s="32">
        <v>0.5</v>
      </c>
      <c r="W21" s="45"/>
      <c r="X21" s="45"/>
      <c r="Y21" s="45"/>
      <c r="Z21" s="45"/>
      <c r="AA21" s="45"/>
      <c r="AB21" s="45"/>
      <c r="AC21" s="46"/>
      <c r="AD21" s="46"/>
      <c r="AE21" s="46"/>
      <c r="AF21" s="46"/>
      <c r="AG21" s="34"/>
      <c r="AH21" s="28"/>
      <c r="AI21" s="28"/>
      <c r="AJ21" s="28"/>
      <c r="AK21" s="28"/>
      <c r="AL21" s="30">
        <f>SUM('Баллы, оценки'!$B21:$E21,'Баллы, оценки'!$G21:$J21,'Баллы, оценки'!$L21:$O21,'Баллы, оценки'!$Q21:$T21,'Баллы, оценки'!$V21:$AF21,AH21:AK21)</f>
        <v>7</v>
      </c>
      <c r="AM21" s="35">
        <f>32-COUNTA(B21:E21,G21:I21,L21:O21,Q21:T21,V21:AF21,AH21:AK21)</f>
        <v>26</v>
      </c>
      <c r="AN21" s="36"/>
      <c r="AO21" s="37"/>
      <c r="AP21" s="37"/>
      <c r="AQ21" s="38"/>
      <c r="AR21" s="39">
        <v>4</v>
      </c>
      <c r="AS21" s="38"/>
      <c r="AT21" s="38"/>
      <c r="AU21" s="35" t="e">
        <f>IF(AND('Баллы, оценки'!$AL21&lt;=38,'Баллы, оценки'!$AL21&gt;=31),5,IF(AND('Баллы, оценки'!$AL21&lt;=30.9,'Баллы, оценки'!$AL21&gt;=25),4,IF(AND('Баллы, оценки'!$AL21&lt;=24.9,'Баллы, оценки'!$AL21&gt;=21),3,н/а)))</f>
        <v>#NAME?</v>
      </c>
    </row>
    <row r="22" spans="1:47" ht="21.75" customHeight="1">
      <c r="A22" s="27" t="s">
        <v>58</v>
      </c>
      <c r="B22" s="29">
        <v>0.5</v>
      </c>
      <c r="C22" s="29">
        <v>0.5</v>
      </c>
      <c r="D22" s="29"/>
      <c r="E22" s="29">
        <v>2</v>
      </c>
      <c r="F22" s="30">
        <f>IF(SUM('Баллы, оценки'!$B9:$E9)&gt;=3.5,5,IF(AND(SUM('Баллы, оценки'!$B9:$E9)&gt;2.5,(SUM('Баллы, оценки'!$B9:$E9)&lt;3.5)),4,IF(AND(SUM('Баллы, оценки'!$B9:$E9)&lt;=2.5,(SUM('Баллы, оценки'!$B9:$E9)&gt;1.5)),3,2)))</f>
        <v>4</v>
      </c>
      <c r="G22" s="29">
        <v>0.5</v>
      </c>
      <c r="H22" s="34"/>
      <c r="I22" s="29"/>
      <c r="J22" s="34">
        <v>1.5</v>
      </c>
      <c r="K22" s="30">
        <f>IF(SUM('Баллы, оценки'!$G9:$J9)&gt;=3.5,5,IF(AND(SUM('Баллы, оценки'!$G9:$J9)&gt;2.5,(SUM('Баллы, оценки'!$G9:$J9)&lt;3.5)),4,IF(AND(SUM('Баллы, оценки'!$G9:$J9)&lt;=2.5,(SUM('Баллы, оценки'!$G9:$J9)&gt;1.5)),3,2)))</f>
        <v>5</v>
      </c>
      <c r="L22" s="29">
        <v>0.5</v>
      </c>
      <c r="M22" s="29">
        <v>0.5</v>
      </c>
      <c r="N22" s="29">
        <v>0.5</v>
      </c>
      <c r="O22" s="29"/>
      <c r="P22" s="30">
        <f>IF(SUM('Баллы, оценки'!$L9:$O9)&gt;=3.5,5,IF(AND(SUM('Баллы, оценки'!$L9:$O9)&gt;2.5,(SUM('Баллы, оценки'!$L9:$O9)&lt;3.5)),4,IF(AND(SUM('Баллы, оценки'!$L9:$O9)&lt;=2.5,(SUM('Баллы, оценки'!$L9:$O9)&gt;1.5)),3,2)))</f>
        <v>2</v>
      </c>
      <c r="Q22" s="29"/>
      <c r="R22" s="29"/>
      <c r="S22" s="29"/>
      <c r="T22" s="29"/>
      <c r="U22" s="30">
        <f>IF(SUM('Баллы, оценки'!$Q9:$T9)&gt;=3.5,5,IF(AND(SUM('Баллы, оценки'!$Q9:$T9)&gt;2.5,(SUM('Баллы, оценки'!$Q9:$T9)&lt;3.5)),4,IF(AND(SUM('Баллы, оценки'!$Q9:$T9)&lt;=2.5,(SUM('Баллы, оценки'!$Q9:$T9)&gt;1.5)),3,2)))</f>
        <v>2</v>
      </c>
      <c r="V22" s="32"/>
      <c r="W22" s="45"/>
      <c r="X22" s="45"/>
      <c r="Y22" s="45"/>
      <c r="Z22" s="45"/>
      <c r="AA22" s="45"/>
      <c r="AB22" s="45"/>
      <c r="AC22" s="46"/>
      <c r="AD22" s="46"/>
      <c r="AE22" s="46"/>
      <c r="AF22" s="46"/>
      <c r="AG22" s="34"/>
      <c r="AH22" s="29"/>
      <c r="AI22" s="29"/>
      <c r="AJ22" s="29"/>
      <c r="AK22" s="29"/>
      <c r="AL22" s="30">
        <f>SUM('Баллы, оценки'!$B9:$E9,'Баллы, оценки'!$G9:$J9,'Баллы, оценки'!$L9:$O9,'Баллы, оценки'!$Q9:$T9,'Баллы, оценки'!$V9:$AF9,AH22:AK22)</f>
        <v>9</v>
      </c>
      <c r="AM22" s="35">
        <f>32-COUNTA(B22:E22,G22:I22,L22:O22,Q22:T22,V22:AF22,AH22:AK22)</f>
        <v>25</v>
      </c>
      <c r="AN22" s="36"/>
      <c r="AO22" s="37"/>
      <c r="AP22" s="37"/>
      <c r="AQ22" s="38"/>
      <c r="AR22" s="53">
        <v>3</v>
      </c>
      <c r="AS22" s="38"/>
      <c r="AT22" s="38"/>
      <c r="AU22" s="35" t="e">
        <f>IF(AND('Баллы, оценки'!$AL9&lt;=38,'Баллы, оценки'!$AL9&gt;=31),5,IF(AND('Баллы, оценки'!$AL9&lt;=30.9,'Баллы, оценки'!$AL9&gt;=25),4,IF(AND('Баллы, оценки'!$AL9&lt;=24.9,'Баллы, оценки'!$AL9&gt;=21),3,н/а)))</f>
        <v>#NAME?</v>
      </c>
    </row>
    <row r="23" spans="1:47" ht="21.75" customHeight="1">
      <c r="A23" s="40" t="s">
        <v>70</v>
      </c>
      <c r="B23" s="42">
        <v>0.5</v>
      </c>
      <c r="C23" s="42">
        <v>0.5</v>
      </c>
      <c r="D23" s="42"/>
      <c r="E23" s="42"/>
      <c r="F23" s="43">
        <f>IF(SUM('Баллы, оценки'!$B20:$E20)&gt;=3.5,5,IF(AND(SUM('Баллы, оценки'!$B20:$E20)&gt;2.5,(SUM('Баллы, оценки'!$B20:$E20)&lt;3.5)),4,IF(AND(SUM('Баллы, оценки'!$B20:$E20)&lt;=2.5,(SUM('Баллы, оценки'!$B20:$E20)&gt;1.5)),3,2)))</f>
        <v>2</v>
      </c>
      <c r="G23" s="42">
        <v>0.5</v>
      </c>
      <c r="H23" s="47">
        <v>0.5</v>
      </c>
      <c r="I23" s="42">
        <v>0.5</v>
      </c>
      <c r="J23" s="47">
        <v>2</v>
      </c>
      <c r="K23" s="43">
        <f>IF(SUM('Баллы, оценки'!$G20:$J20)&gt;=3.5,5,IF(AND(SUM('Баллы, оценки'!$G20:$J20)&gt;2.5,(SUM('Баллы, оценки'!$G20:$J20)&lt;3.5)),4,IF(AND(SUM('Баллы, оценки'!$G20:$J20)&lt;=2.5,(SUM('Баллы, оценки'!$G20:$J20)&gt;1.5)),3,2)))</f>
        <v>5</v>
      </c>
      <c r="L23" s="42">
        <v>0.5</v>
      </c>
      <c r="M23" s="42">
        <v>0.5</v>
      </c>
      <c r="N23" s="42">
        <v>0.5</v>
      </c>
      <c r="O23" s="42"/>
      <c r="P23" s="43">
        <f>IF(SUM('Баллы, оценки'!$L20:$O20)&gt;=3.5,5,IF(AND(SUM('Баллы, оценки'!$L20:$O20)&gt;2.5,(SUM('Баллы, оценки'!$L20:$O20)&lt;3.5)),4,IF(AND(SUM('Баллы, оценки'!$L20:$O20)&lt;=2.5,(SUM('Баллы, оценки'!$L20:$O20)&gt;1.5)),3,2)))</f>
        <v>2</v>
      </c>
      <c r="Q23" s="42"/>
      <c r="R23" s="42"/>
      <c r="S23" s="42"/>
      <c r="T23" s="42"/>
      <c r="U23" s="43">
        <f>IF(SUM('Баллы, оценки'!$Q20:$T20)&gt;=3.5,5,IF(AND(SUM('Баллы, оценки'!$Q20:$T20)&gt;2.5,(SUM('Баллы, оценки'!$Q20:$T20)&lt;3.5)),4,IF(AND(SUM('Баллы, оценки'!$Q20:$T20)&lt;=2.5,(SUM('Баллы, оценки'!$Q20:$T20)&gt;1.5)),3,2)))</f>
        <v>2</v>
      </c>
      <c r="V23" s="32">
        <v>0.5</v>
      </c>
      <c r="W23" s="45"/>
      <c r="X23" s="45"/>
      <c r="Y23" s="45"/>
      <c r="Z23" s="45"/>
      <c r="AA23" s="45"/>
      <c r="AB23" s="45"/>
      <c r="AC23" s="46"/>
      <c r="AD23" s="46"/>
      <c r="AE23" s="46"/>
      <c r="AF23" s="46"/>
      <c r="AG23" s="47"/>
      <c r="AH23" s="42"/>
      <c r="AI23" s="42"/>
      <c r="AJ23" s="42"/>
      <c r="AK23" s="42"/>
      <c r="AL23" s="43">
        <f>SUM('Баллы, оценки'!$B20:$E20,'Баллы, оценки'!$G20:$J20,'Баллы, оценки'!$L20:$O20,'Баллы, оценки'!$Q20:$T20,'Баллы, оценки'!$V20:$AF20,AH23:AK23)</f>
        <v>7</v>
      </c>
      <c r="AM23" s="48">
        <f>32-COUNTA(B23:E23,G23:I23,L23:O23,Q23:T23,V23:AF23,AH23:AK23)</f>
        <v>23</v>
      </c>
      <c r="AN23" s="36"/>
      <c r="AO23" s="37"/>
      <c r="AP23" s="37"/>
      <c r="AQ23" s="49"/>
      <c r="AR23" s="51">
        <v>4</v>
      </c>
      <c r="AS23" s="49"/>
      <c r="AT23" s="49"/>
      <c r="AU23" s="48" t="e">
        <f>IF(AND('Баллы, оценки'!$AL20&lt;=38,'Баллы, оценки'!$AL20&gt;=31),5,IF(AND('Баллы, оценки'!$AL20&lt;=30.9,'Баллы, оценки'!$AL20&gt;=25),4,IF(AND('Баллы, оценки'!$AL20&lt;=24.9,'Баллы, оценки'!$AL20&gt;=21),3,н/а)))</f>
        <v>#NAME?</v>
      </c>
    </row>
    <row r="24" spans="1:47" ht="21.75" customHeight="1">
      <c r="A24" s="27" t="s">
        <v>73</v>
      </c>
      <c r="B24" s="29">
        <v>0.5</v>
      </c>
      <c r="C24" s="29">
        <v>0.5</v>
      </c>
      <c r="D24" s="29">
        <v>0.5</v>
      </c>
      <c r="E24" s="29"/>
      <c r="F24" s="30">
        <f>IF(SUM('Баллы, оценки'!$B23:$E23)&gt;=3.5,5,IF(AND(SUM('Баллы, оценки'!$B23:$E23)&gt;2.5,(SUM('Баллы, оценки'!$B23:$E23)&lt;3.5)),4,IF(AND(SUM('Баллы, оценки'!$B23:$E23)&lt;=2.5,(SUM('Баллы, оценки'!$B23:$E23)&gt;1.5)),3,2)))</f>
        <v>2</v>
      </c>
      <c r="G24" s="29">
        <v>0.5</v>
      </c>
      <c r="H24" s="34">
        <v>0.5</v>
      </c>
      <c r="I24" s="29">
        <v>0.5</v>
      </c>
      <c r="J24" s="34">
        <v>1.5</v>
      </c>
      <c r="K24" s="30">
        <f>IF(SUM('Баллы, оценки'!$G23:$J23)&gt;=3.5,5,IF(AND(SUM('Баллы, оценки'!$G23:$J23)&gt;2.5,(SUM('Баллы, оценки'!$G23:$J23)&lt;3.5)),4,IF(AND(SUM('Баллы, оценки'!$G23:$J23)&lt;=2.5,(SUM('Баллы, оценки'!$G23:$J23)&gt;1.5)),3,2)))</f>
        <v>5</v>
      </c>
      <c r="L24" s="29">
        <v>0.5</v>
      </c>
      <c r="M24" s="29">
        <v>0.5</v>
      </c>
      <c r="N24" s="29">
        <v>0.5</v>
      </c>
      <c r="O24" s="29"/>
      <c r="P24" s="30">
        <f>IF(SUM('Баллы, оценки'!$L23:$O23)&gt;=3.5,5,IF(AND(SUM('Баллы, оценки'!$L23:$O23)&gt;2.5,(SUM('Баллы, оценки'!$L23:$O23)&lt;3.5)),4,IF(AND(SUM('Баллы, оценки'!$L23:$O23)&lt;=2.5,(SUM('Баллы, оценки'!$L23:$O23)&gt;1.5)),3,2)))</f>
        <v>2</v>
      </c>
      <c r="Q24" s="29"/>
      <c r="R24" s="29"/>
      <c r="S24" s="29"/>
      <c r="T24" s="29"/>
      <c r="U24" s="30">
        <f>IF(SUM('Баллы, оценки'!$Q23:$T23)&gt;=3.5,5,IF(AND(SUM('Баллы, оценки'!$Q23:$T23)&gt;2.5,(SUM('Баллы, оценки'!$Q23:$T23)&lt;3.5)),4,IF(AND(SUM('Баллы, оценки'!$Q23:$T23)&lt;=2.5,(SUM('Баллы, оценки'!$Q23:$T23)&gt;1.5)),3,2)))</f>
        <v>2</v>
      </c>
      <c r="V24" s="32">
        <v>0.5</v>
      </c>
      <c r="W24" s="45"/>
      <c r="X24" s="45"/>
      <c r="Y24" s="45"/>
      <c r="Z24" s="45"/>
      <c r="AA24" s="45"/>
      <c r="AB24" s="45"/>
      <c r="AC24" s="46"/>
      <c r="AD24" s="46"/>
      <c r="AE24" s="46"/>
      <c r="AF24" s="46"/>
      <c r="AG24" s="34"/>
      <c r="AH24" s="29"/>
      <c r="AI24" s="29"/>
      <c r="AJ24" s="29"/>
      <c r="AK24" s="29"/>
      <c r="AL24" s="30">
        <f>SUM('Баллы, оценки'!$B23:$E23,'Баллы, оценки'!$G23:$J23,'Баллы, оценки'!$L23:$O23,'Баллы, оценки'!$Q23:$T23,'Баллы, оценки'!$V23:$AF23,AH24:AK24)</f>
        <v>6.5</v>
      </c>
      <c r="AM24" s="35">
        <f>32-COUNTA(B24:E24,G24:I24,L24:O24,Q24:T24,V24:AF24,AH24:AK24)</f>
        <v>22</v>
      </c>
      <c r="AN24" s="36"/>
      <c r="AO24" s="37"/>
      <c r="AP24" s="37"/>
      <c r="AQ24" s="38"/>
      <c r="AR24" s="53">
        <v>3</v>
      </c>
      <c r="AS24" s="38"/>
      <c r="AT24" s="38"/>
      <c r="AU24" s="35" t="e">
        <f>IF(AND('Баллы, оценки'!$AL23&lt;=38,'Баллы, оценки'!$AL23&gt;=31),5,IF(AND('Баллы, оценки'!$AL23&lt;=30.9,'Баллы, оценки'!$AL23&gt;=25),4,IF(AND('Баллы, оценки'!$AL23&lt;=24.9,'Баллы, оценки'!$AL23&gt;=21),3,н/а)))</f>
        <v>#NAME?</v>
      </c>
    </row>
    <row r="25" spans="1:47" ht="21.75" customHeight="1">
      <c r="A25" s="40" t="s">
        <v>74</v>
      </c>
      <c r="B25" s="42">
        <v>0.5</v>
      </c>
      <c r="C25" s="42">
        <v>0.5</v>
      </c>
      <c r="D25" s="42">
        <v>0.5</v>
      </c>
      <c r="E25" s="42">
        <v>2.5</v>
      </c>
      <c r="F25" s="43">
        <f>IF(SUM('Баллы, оценки'!$B24:$E24)&gt;=3.5,5,IF(AND(SUM('Баллы, оценки'!$B24:$E24)&gt;2.5,(SUM('Баллы, оценки'!$B24:$E24)&lt;3.5)),4,IF(AND(SUM('Баллы, оценки'!$B24:$E24)&lt;=2.5,(SUM('Баллы, оценки'!$B24:$E24)&gt;1.5)),3,2)))</f>
        <v>2</v>
      </c>
      <c r="G25" s="42">
        <v>0.5</v>
      </c>
      <c r="H25" s="47">
        <v>0.5</v>
      </c>
      <c r="I25" s="42">
        <v>0.5</v>
      </c>
      <c r="J25" s="47"/>
      <c r="K25" s="43">
        <f>IF(SUM('Баллы, оценки'!$G24:$J24)&gt;=3.5,5,IF(AND(SUM('Баллы, оценки'!$G24:$J24)&gt;2.5,(SUM('Баллы, оценки'!$G24:$J24)&lt;3.5)),4,IF(AND(SUM('Баллы, оценки'!$G24:$J24)&lt;=2.5,(SUM('Баллы, оценки'!$G24:$J24)&gt;1.5)),3,2)))</f>
        <v>4</v>
      </c>
      <c r="L25" s="42"/>
      <c r="M25" s="42"/>
      <c r="N25" s="42"/>
      <c r="O25" s="42"/>
      <c r="P25" s="43">
        <f>IF(SUM('Баллы, оценки'!$L24:$O24)&gt;=3.5,5,IF(AND(SUM('Баллы, оценки'!$L24:$O24)&gt;2.5,(SUM('Баллы, оценки'!$L24:$O24)&lt;3.5)),4,IF(AND(SUM('Баллы, оценки'!$L24:$O24)&lt;=2.5,(SUM('Баллы, оценки'!$L24:$O24)&gt;1.5)),3,2)))</f>
        <v>2</v>
      </c>
      <c r="Q25" s="42"/>
      <c r="R25" s="42"/>
      <c r="S25" s="42"/>
      <c r="T25" s="42"/>
      <c r="U25" s="43">
        <f>IF(SUM('Баллы, оценки'!$Q24:$T24)&gt;=3.5,5,IF(AND(SUM('Баллы, оценки'!$Q24:$T24)&gt;2.5,(SUM('Баллы, оценки'!$Q24:$T24)&lt;3.5)),4,IF(AND(SUM('Баллы, оценки'!$Q24:$T24)&lt;=2.5,(SUM('Баллы, оценки'!$Q24:$T24)&gt;1.5)),3,2)))</f>
        <v>2</v>
      </c>
      <c r="V25" s="32">
        <v>0.5</v>
      </c>
      <c r="W25" s="45"/>
      <c r="X25" s="45"/>
      <c r="Y25" s="45"/>
      <c r="Z25" s="45"/>
      <c r="AA25" s="45"/>
      <c r="AB25" s="45"/>
      <c r="AC25" s="46"/>
      <c r="AD25" s="46"/>
      <c r="AE25" s="46"/>
      <c r="AF25" s="46"/>
      <c r="AG25" s="47"/>
      <c r="AH25" s="42"/>
      <c r="AI25" s="42"/>
      <c r="AJ25" s="42"/>
      <c r="AK25" s="42"/>
      <c r="AL25" s="43">
        <f>SUM('Баллы, оценки'!$B24:$E24,'Баллы, оценки'!$G24:$J24,'Баллы, оценки'!$L24:$O24,'Баллы, оценки'!$Q24:$T24,'Баллы, оценки'!$V24:$AF24,AH25:AK25)</f>
        <v>6.5</v>
      </c>
      <c r="AM25" s="48">
        <f>32-COUNTA(B25:E25,G25:I25,L25:O25,Q25:T25,V25:AF25,AH25:AK25)</f>
        <v>24</v>
      </c>
      <c r="AN25" s="36"/>
      <c r="AO25" s="37"/>
      <c r="AP25" s="37"/>
      <c r="AQ25" s="49"/>
      <c r="AR25" s="51">
        <v>3</v>
      </c>
      <c r="AS25" s="49"/>
      <c r="AT25" s="49"/>
      <c r="AU25" s="48" t="e">
        <f>IF(AND('Баллы, оценки'!$AL24&lt;=38,'Баллы, оценки'!$AL24&gt;=31),5,IF(AND('Баллы, оценки'!$AL24&lt;=30.9,'Баллы, оценки'!$AL24&gt;=25),4,IF(AND('Баллы, оценки'!$AL24&lt;=24.9,'Баллы, оценки'!$AL24&gt;=21),3,н/а)))</f>
        <v>#NAME?</v>
      </c>
    </row>
    <row r="26" spans="1:47" ht="21.75" customHeight="1">
      <c r="A26" s="40" t="s">
        <v>72</v>
      </c>
      <c r="B26" s="41">
        <v>0.5</v>
      </c>
      <c r="C26" s="41">
        <v>0.5</v>
      </c>
      <c r="D26" s="41">
        <v>0.5</v>
      </c>
      <c r="E26" s="42">
        <v>2</v>
      </c>
      <c r="F26" s="43">
        <f>IF(SUM('Баллы, оценки'!$B22:$E22)&gt;=3.5,5,IF(AND(SUM('Баллы, оценки'!$B22:$E22)&gt;2.5,(SUM('Баллы, оценки'!$B22:$E22)&lt;3.5)),4,IF(AND(SUM('Баллы, оценки'!$B22:$E22)&lt;=2.5,(SUM('Баллы, оценки'!$B22:$E22)&gt;1.5)),3,2)))</f>
        <v>4</v>
      </c>
      <c r="G26" s="42">
        <v>0.5</v>
      </c>
      <c r="H26" s="44">
        <v>0.5</v>
      </c>
      <c r="I26" s="42">
        <v>0.5</v>
      </c>
      <c r="J26" s="44"/>
      <c r="K26" s="43">
        <f>IF(SUM('Баллы, оценки'!$G22:$J22)&gt;=3.5,5,IF(AND(SUM('Баллы, оценки'!$G22:$J22)&gt;2.5,(SUM('Баллы, оценки'!$G22:$J22)&lt;3.5)),4,IF(AND(SUM('Баллы, оценки'!$G22:$J22)&lt;=2.5,(SUM('Баллы, оценки'!$G22:$J22)&gt;1.5)),3,2)))</f>
        <v>3</v>
      </c>
      <c r="L26" s="42"/>
      <c r="M26" s="42"/>
      <c r="N26" s="42"/>
      <c r="O26" s="41"/>
      <c r="P26" s="43">
        <f>IF(SUM('Баллы, оценки'!$L22:$O22)&gt;=3.5,5,IF(AND(SUM('Баллы, оценки'!$L22:$O22)&gt;2.5,(SUM('Баллы, оценки'!$L22:$O22)&lt;3.5)),4,IF(AND(SUM('Баллы, оценки'!$L22:$O22)&lt;=2.5,(SUM('Баллы, оценки'!$L22:$O22)&gt;1.5)),3,2)))</f>
        <v>2</v>
      </c>
      <c r="Q26" s="41"/>
      <c r="R26" s="41"/>
      <c r="S26" s="41"/>
      <c r="T26" s="41"/>
      <c r="U26" s="43">
        <f>IF(SUM('Баллы, оценки'!$Q22:$T22)&gt;=3.5,5,IF(AND(SUM('Баллы, оценки'!$Q22:$T22)&gt;2.5,(SUM('Баллы, оценки'!$Q22:$T22)&lt;3.5)),4,IF(AND(SUM('Баллы, оценки'!$Q22:$T22)&lt;=2.5,(SUM('Баллы, оценки'!$Q22:$T22)&gt;1.5)),3,2)))</f>
        <v>2</v>
      </c>
      <c r="V26" s="32">
        <v>0.5</v>
      </c>
      <c r="W26" s="45"/>
      <c r="X26" s="45"/>
      <c r="Y26" s="45"/>
      <c r="Z26" s="45"/>
      <c r="AA26" s="45"/>
      <c r="AB26" s="45"/>
      <c r="AC26" s="46"/>
      <c r="AD26" s="46"/>
      <c r="AE26" s="46"/>
      <c r="AF26" s="46"/>
      <c r="AG26" s="47"/>
      <c r="AH26" s="41"/>
      <c r="AI26" s="41"/>
      <c r="AJ26" s="41"/>
      <c r="AK26" s="41"/>
      <c r="AL26" s="43">
        <f>SUM('Баллы, оценки'!$B22:$E22,'Баллы, оценки'!$G22:$J22,'Баллы, оценки'!$L22:$O22,'Баллы, оценки'!$Q22:$T22,'Баллы, оценки'!$V22:$AF22,AH26:AK26)</f>
        <v>6.5</v>
      </c>
      <c r="AM26" s="48">
        <f>32-COUNTA(B26:E26,G26:I26,L26:O26,Q26:T26,V26:AF26,AH26:AK26)</f>
        <v>24</v>
      </c>
      <c r="AN26" s="36"/>
      <c r="AO26" s="37"/>
      <c r="AP26" s="37"/>
      <c r="AQ26" s="49"/>
      <c r="AR26" s="50">
        <v>3</v>
      </c>
      <c r="AS26" s="49"/>
      <c r="AT26" s="49"/>
      <c r="AU26" s="48" t="e">
        <f>IF(AND('Баллы, оценки'!$AL22&lt;=38,'Баллы, оценки'!$AL22&gt;=31),5,IF(AND('Баллы, оценки'!$AL22&lt;=30.9,'Баллы, оценки'!$AL22&gt;=25),4,IF(AND('Баллы, оценки'!$AL22&lt;=24.9,'Баллы, оценки'!$AL22&gt;=21),3,н/а)))</f>
        <v>#NAME?</v>
      </c>
    </row>
    <row r="27" spans="1:47" ht="21.75" customHeight="1">
      <c r="A27" s="27" t="s">
        <v>79</v>
      </c>
      <c r="B27" s="28">
        <v>0.5</v>
      </c>
      <c r="C27" s="28">
        <v>0.5</v>
      </c>
      <c r="D27" s="28"/>
      <c r="E27" s="29">
        <v>2</v>
      </c>
      <c r="F27" s="30">
        <f>IF(SUM('Баллы, оценки'!$B29:$E29)&gt;=3.5,5,IF(AND(SUM('Баллы, оценки'!$B29:$E29)&gt;2.5,(SUM('Баллы, оценки'!$B29:$E29)&lt;3.5)),4,IF(AND(SUM('Баллы, оценки'!$B29:$E29)&lt;=2.5,(SUM('Баллы, оценки'!$B29:$E29)&gt;1.5)),3,2)))</f>
        <v>2</v>
      </c>
      <c r="G27" s="29">
        <v>0.5</v>
      </c>
      <c r="H27" s="31">
        <v>0.5</v>
      </c>
      <c r="I27" s="29">
        <v>0.5</v>
      </c>
      <c r="J27" s="31"/>
      <c r="K27" s="30">
        <f>IF(SUM('Баллы, оценки'!$G29:$J29)&gt;=3.5,5,IF(AND(SUM('Баллы, оценки'!$G29:$J29)&gt;2.5,(SUM('Баллы, оценки'!$G29:$J29)&lt;3.5)),4,IF(AND(SUM('Баллы, оценки'!$G29:$J29)&lt;=2.5,(SUM('Баллы, оценки'!$G29:$J29)&gt;1.5)),3,2)))</f>
        <v>2</v>
      </c>
      <c r="L27" s="29"/>
      <c r="M27" s="29"/>
      <c r="N27" s="29"/>
      <c r="O27" s="28"/>
      <c r="P27" s="30">
        <f>IF(SUM('Баллы, оценки'!$L29:$O29)&gt;=3.5,5,IF(AND(SUM('Баллы, оценки'!$L29:$O29)&gt;2.5,(SUM('Баллы, оценки'!$L29:$O29)&lt;3.5)),4,IF(AND(SUM('Баллы, оценки'!$L29:$O29)&lt;=2.5,(SUM('Баллы, оценки'!$L29:$O29)&gt;1.5)),3,2)))</f>
        <v>2</v>
      </c>
      <c r="Q27" s="28"/>
      <c r="R27" s="28"/>
      <c r="S27" s="28"/>
      <c r="T27" s="28"/>
      <c r="U27" s="30">
        <f>IF(SUM('Баллы, оценки'!$Q29:$T29)&gt;=3.5,5,IF(AND(SUM('Баллы, оценки'!$Q29:$T29)&gt;2.5,(SUM('Баллы, оценки'!$Q29:$T29)&lt;3.5)),4,IF(AND(SUM('Баллы, оценки'!$Q29:$T29)&lt;=2.5,(SUM('Баллы, оценки'!$Q29:$T29)&gt;1.5)),3,2)))</f>
        <v>2</v>
      </c>
      <c r="V27" s="32">
        <v>0.5</v>
      </c>
      <c r="W27" s="45"/>
      <c r="X27" s="45"/>
      <c r="Y27" s="45"/>
      <c r="Z27" s="45"/>
      <c r="AA27" s="45"/>
      <c r="AB27" s="45"/>
      <c r="AC27" s="46"/>
      <c r="AD27" s="46"/>
      <c r="AE27" s="46"/>
      <c r="AF27" s="46"/>
      <c r="AG27" s="34"/>
      <c r="AH27" s="28"/>
      <c r="AI27" s="28"/>
      <c r="AJ27" s="28"/>
      <c r="AK27" s="28"/>
      <c r="AL27" s="30">
        <f>SUM('Баллы, оценки'!$B29:$E29,'Баллы, оценки'!$G29:$J29,'Баллы, оценки'!$L29:$O29,'Баллы, оценки'!$Q29:$T29,'Баллы, оценки'!$V29:$AF29,AH27:AK27)</f>
        <v>2.5</v>
      </c>
      <c r="AM27" s="35">
        <f>32-COUNTA(B27:E27,G27:I27,L27:O27,Q27:T27,V27:AF27,AH27:AK27)</f>
        <v>25</v>
      </c>
      <c r="AN27" s="36"/>
      <c r="AO27" s="37"/>
      <c r="AP27" s="37"/>
      <c r="AQ27" s="38"/>
      <c r="AR27" s="39">
        <v>3</v>
      </c>
      <c r="AS27" s="38"/>
      <c r="AT27" s="38"/>
      <c r="AU27" s="35" t="e">
        <f>IF(AND('Баллы, оценки'!$AL29&lt;=38,'Баллы, оценки'!$AL29&gt;=31),5,IF(AND('Баллы, оценки'!$AL29&lt;=30.9,'Баллы, оценки'!$AL29&gt;=25),4,IF(AND('Баллы, оценки'!$AL29&lt;=24.9,'Баллы, оценки'!$AL29&gt;=21),3,н/а)))</f>
        <v>#NAME?</v>
      </c>
    </row>
    <row r="28" spans="1:47" ht="21.75" customHeight="1">
      <c r="A28" s="40" t="s">
        <v>80</v>
      </c>
      <c r="B28" s="41">
        <v>0.5</v>
      </c>
      <c r="C28" s="41">
        <v>0.5</v>
      </c>
      <c r="D28" s="41">
        <v>0.5</v>
      </c>
      <c r="E28" s="42">
        <v>2</v>
      </c>
      <c r="F28" s="43">
        <f>IF(SUM('Баллы, оценки'!$B30:$E30)&gt;=3.5,5,IF(AND(SUM('Баллы, оценки'!$B30:$E30)&gt;2.5,(SUM('Баллы, оценки'!$B30:$E30)&lt;3.5)),4,IF(AND(SUM('Баллы, оценки'!$B30:$E30)&lt;=2.5,(SUM('Баллы, оценки'!$B30:$E30)&gt;1.5)),3,2)))</f>
        <v>2</v>
      </c>
      <c r="G28" s="42">
        <v>0.5</v>
      </c>
      <c r="H28" s="44">
        <v>0.5</v>
      </c>
      <c r="I28" s="42">
        <v>0.5</v>
      </c>
      <c r="J28" s="44"/>
      <c r="K28" s="43">
        <f>IF(SUM('Баллы, оценки'!$G30:$J30)&gt;=3.5,5,IF(AND(SUM('Баллы, оценки'!$G30:$J30)&gt;2.5,(SUM('Баллы, оценки'!$G30:$J30)&lt;3.5)),4,IF(AND(SUM('Баллы, оценки'!$G30:$J30)&lt;=2.5,(SUM('Баллы, оценки'!$G30:$J30)&gt;1.5)),3,2)))</f>
        <v>2</v>
      </c>
      <c r="L28" s="42"/>
      <c r="M28" s="42"/>
      <c r="N28" s="42"/>
      <c r="O28" s="41"/>
      <c r="P28" s="43">
        <f>IF(SUM('Баллы, оценки'!$L30:$O30)&gt;=3.5,5,IF(AND(SUM('Баллы, оценки'!$L30:$O30)&gt;2.5,(SUM('Баллы, оценки'!$L30:$O30)&lt;3.5)),4,IF(AND(SUM('Баллы, оценки'!$L30:$O30)&lt;=2.5,(SUM('Баллы, оценки'!$L30:$O30)&gt;1.5)),3,2)))</f>
        <v>2</v>
      </c>
      <c r="Q28" s="41"/>
      <c r="R28" s="41"/>
      <c r="S28" s="41"/>
      <c r="T28" s="41"/>
      <c r="U28" s="43">
        <f>IF(SUM('Баллы, оценки'!$Q30:$T30)&gt;=3.5,5,IF(AND(SUM('Баллы, оценки'!$Q30:$T30)&gt;2.5,(SUM('Баллы, оценки'!$Q30:$T30)&lt;3.5)),4,IF(AND(SUM('Баллы, оценки'!$Q30:$T30)&lt;=2.5,(SUM('Баллы, оценки'!$Q30:$T30)&gt;1.5)),3,2)))</f>
        <v>2</v>
      </c>
      <c r="V28" s="32"/>
      <c r="W28" s="45"/>
      <c r="X28" s="45"/>
      <c r="Y28" s="45"/>
      <c r="Z28" s="45"/>
      <c r="AA28" s="45"/>
      <c r="AB28" s="45"/>
      <c r="AC28" s="46"/>
      <c r="AD28" s="46"/>
      <c r="AE28" s="46"/>
      <c r="AF28" s="46"/>
      <c r="AG28" s="47"/>
      <c r="AH28" s="41"/>
      <c r="AI28" s="41"/>
      <c r="AJ28" s="41"/>
      <c r="AK28" s="41"/>
      <c r="AL28" s="43">
        <f>SUM('Баллы, оценки'!$B30:$E30,'Баллы, оценки'!$G30:$J30,'Баллы, оценки'!$L30:$O30,'Баллы, оценки'!$Q30:$T30,'Баллы, оценки'!$V30:$AF30,AH28:AK28)</f>
        <v>2</v>
      </c>
      <c r="AM28" s="48">
        <f>32-COUNTA(B28:E28,G28:I28,L28:O28,Q28:T28,V28:AF28,AH28:AK28)</f>
        <v>25</v>
      </c>
      <c r="AN28" s="36"/>
      <c r="AO28" s="54"/>
      <c r="AP28" s="54"/>
      <c r="AQ28" s="49"/>
      <c r="AR28" s="50">
        <v>4</v>
      </c>
      <c r="AS28" s="49"/>
      <c r="AT28" s="49"/>
      <c r="AU28" s="48" t="e">
        <f>IF(AND('Баллы, оценки'!$AL30&lt;=38,'Баллы, оценки'!$AL30&gt;=31),5,IF(AND('Баллы, оценки'!$AL30&lt;=30.9,'Баллы, оценки'!$AL30&gt;=25),4,IF(AND('Баллы, оценки'!$AL30&lt;=24.9,'Баллы, оценки'!$AL30&gt;=21),3,н/а)))</f>
        <v>#NAME?</v>
      </c>
    </row>
    <row r="29" spans="1:47" ht="15.75" customHeight="1">
      <c r="A29" s="27" t="s">
        <v>67</v>
      </c>
      <c r="B29" s="28">
        <v>0.5</v>
      </c>
      <c r="C29" s="28">
        <v>0.5</v>
      </c>
      <c r="D29" s="28">
        <v>0.5</v>
      </c>
      <c r="E29" s="29"/>
      <c r="F29" s="30">
        <f>IF(SUM('Баллы, оценки'!$B17:$E17)&gt;=3.5,5,IF(AND(SUM('Баллы, оценки'!$B17:$E17)&gt;2.5,(SUM('Баллы, оценки'!$B17:$E17)&lt;3.5)),4,IF(AND(SUM('Баллы, оценки'!$B17:$E17)&lt;=2.5,(SUM('Баллы, оценки'!$B17:$E17)&gt;1.5)),3,2)))</f>
        <v>5</v>
      </c>
      <c r="G29" s="29"/>
      <c r="H29" s="31">
        <v>0.5</v>
      </c>
      <c r="I29" s="29">
        <v>0.5</v>
      </c>
      <c r="J29" s="31"/>
      <c r="K29" s="30">
        <f>IF(SUM('Баллы, оценки'!$G17:$J17)&gt;=3.5,5,IF(AND(SUM('Баллы, оценки'!$G17:$J17)&gt;2.5,(SUM('Баллы, оценки'!$G17:$J17)&lt;3.5)),4,IF(AND(SUM('Баллы, оценки'!$G17:$J17)&lt;=2.5,(SUM('Баллы, оценки'!$G17:$J17)&gt;1.5)),3,2)))</f>
        <v>3</v>
      </c>
      <c r="L29" s="29"/>
      <c r="M29" s="29"/>
      <c r="N29" s="29"/>
      <c r="O29" s="28"/>
      <c r="P29" s="30">
        <f>IF(SUM('Баллы, оценки'!$L17:$O17)&gt;=3.5,5,IF(AND(SUM('Баллы, оценки'!$L17:$O17)&gt;2.5,(SUM('Баллы, оценки'!$L17:$O17)&lt;3.5)),4,IF(AND(SUM('Баллы, оценки'!$L17:$O17)&lt;=2.5,(SUM('Баллы, оценки'!$L17:$O17)&gt;1.5)),3,2)))</f>
        <v>2</v>
      </c>
      <c r="Q29" s="28"/>
      <c r="R29" s="28"/>
      <c r="S29" s="28"/>
      <c r="T29" s="28"/>
      <c r="U29" s="30">
        <f>IF(SUM('Баллы, оценки'!$Q17:$T17)&gt;=3.5,5,IF(AND(SUM('Баллы, оценки'!$Q17:$T17)&gt;2.5,(SUM('Баллы, оценки'!$Q17:$T17)&lt;3.5)),4,IF(AND(SUM('Баллы, оценки'!$Q17:$T17)&lt;=2.5,(SUM('Баллы, оценки'!$Q17:$T17)&gt;1.5)),3,2)))</f>
        <v>2</v>
      </c>
      <c r="V29" s="32"/>
      <c r="W29" s="45"/>
      <c r="X29" s="45"/>
      <c r="Y29" s="45"/>
      <c r="Z29" s="45"/>
      <c r="AA29" s="45"/>
      <c r="AB29" s="45"/>
      <c r="AC29" s="46"/>
      <c r="AD29" s="46"/>
      <c r="AE29" s="46"/>
      <c r="AF29" s="46"/>
      <c r="AG29" s="34"/>
      <c r="AH29" s="28"/>
      <c r="AI29" s="28"/>
      <c r="AJ29" s="28"/>
      <c r="AK29" s="28"/>
      <c r="AL29" s="30">
        <f>SUM('Баллы, оценки'!$B17:$E17,'Баллы, оценки'!$G17:$J17,'Баллы, оценки'!$L17:$O17,'Баллы, оценки'!$Q17:$T17,'Баллы, оценки'!$V17:$AF17,AH29:AK29)</f>
        <v>8</v>
      </c>
      <c r="AM29" s="35">
        <f>32-COUNTA(B29:E29,G29:I29,L29:O29,Q29:T29,V29:AF29,AH29:AK29)</f>
        <v>27</v>
      </c>
      <c r="AN29" s="36"/>
      <c r="AO29" s="37"/>
      <c r="AP29" s="37"/>
      <c r="AQ29" s="38"/>
      <c r="AR29" s="39"/>
      <c r="AS29" s="38"/>
      <c r="AT29" s="38"/>
      <c r="AU29" s="35" t="e">
        <f>IF(AND('Баллы, оценки'!$AL17&lt;=38,'Баллы, оценки'!$AL17&gt;=31),5,IF(AND('Баллы, оценки'!$AL17&lt;=30.9,'Баллы, оценки'!$AL17&gt;=25),4,IF(AND('Баллы, оценки'!$AL17&lt;=24.9,'Баллы, оценки'!$AL17&gt;=21),3,н/а)))</f>
        <v>#NAME?</v>
      </c>
    </row>
    <row r="30" spans="1:47" ht="15.75" customHeight="1">
      <c r="A30" s="40" t="s">
        <v>55</v>
      </c>
      <c r="B30" s="41">
        <v>0.5</v>
      </c>
      <c r="C30" s="41"/>
      <c r="D30" s="41"/>
      <c r="E30" s="42"/>
      <c r="F30" s="43">
        <f>IF(SUM('Баллы, оценки'!$B6:$E6)&gt;=3.5,5,IF(AND(SUM('Баллы, оценки'!$B6:$E6)&gt;2.5,(SUM('Баллы, оценки'!$B6:$E6)&lt;3.5)),4,IF(AND(SUM('Баллы, оценки'!$B6:$E6)&lt;=2.5,(SUM('Баллы, оценки'!$B6:$E6)&gt;1.5)),3,2)))</f>
        <v>5</v>
      </c>
      <c r="G30" s="42">
        <v>0.5</v>
      </c>
      <c r="H30" s="44">
        <v>0.5</v>
      </c>
      <c r="I30" s="42"/>
      <c r="J30" s="44"/>
      <c r="K30" s="43">
        <f>IF(SUM('Баллы, оценки'!$G6:$J6)&gt;=3.5,5,IF(AND(SUM('Баллы, оценки'!$G6:$J6)&gt;2.5,(SUM('Баллы, оценки'!$G6:$J6)&lt;3.5)),4,IF(AND(SUM('Баллы, оценки'!$G6:$J6)&lt;=2.5,(SUM('Баллы, оценки'!$G6:$J6)&gt;1.5)),3,2)))</f>
        <v>5</v>
      </c>
      <c r="L30" s="42"/>
      <c r="M30" s="42"/>
      <c r="N30" s="42"/>
      <c r="O30" s="41"/>
      <c r="P30" s="43">
        <f>IF(SUM('Баллы, оценки'!$L6:$O6)&gt;=3.5,5,IF(AND(SUM('Баллы, оценки'!$L6:$O6)&gt;2.5,(SUM('Баллы, оценки'!$L6:$O6)&lt;3.5)),4,IF(AND(SUM('Баллы, оценки'!$L6:$O6)&lt;=2.5,(SUM('Баллы, оценки'!$L6:$O6)&gt;1.5)),3,2)))</f>
        <v>2</v>
      </c>
      <c r="Q30" s="41"/>
      <c r="R30" s="41"/>
      <c r="S30" s="41"/>
      <c r="T30" s="41"/>
      <c r="U30" s="43">
        <f>IF(SUM('Баллы, оценки'!$Q6:$T6)&gt;=3.5,5,IF(AND(SUM('Баллы, оценки'!$Q6:$T6)&gt;2.5,(SUM('Баллы, оценки'!$Q6:$T6)&lt;3.5)),4,IF(AND(SUM('Баллы, оценки'!$Q6:$T6)&lt;=2.5,(SUM('Баллы, оценки'!$Q6:$T6)&gt;1.5)),3,2)))</f>
        <v>2</v>
      </c>
      <c r="V30" s="32">
        <v>0.5</v>
      </c>
      <c r="W30" s="45"/>
      <c r="X30" s="45"/>
      <c r="Y30" s="45"/>
      <c r="Z30" s="45"/>
      <c r="AA30" s="45"/>
      <c r="AB30" s="45"/>
      <c r="AC30" s="46"/>
      <c r="AD30" s="46"/>
      <c r="AE30" s="46"/>
      <c r="AF30" s="46"/>
      <c r="AG30" s="211"/>
      <c r="AH30" s="41"/>
      <c r="AI30" s="41"/>
      <c r="AJ30" s="41"/>
      <c r="AK30" s="41"/>
      <c r="AL30" s="43">
        <f>SUM('Баллы, оценки'!$B6:$E6,'Баллы, оценки'!$G6:$J6,'Баллы, оценки'!$L6:$O6,'Баллы, оценки'!$Q6:$T6,'Баллы, оценки'!$V6:$AF6,AH30:AK30)</f>
        <v>9.5</v>
      </c>
      <c r="AM30" s="48">
        <f>32-COUNTA(B30:E30,G30:I30,L30:O30,Q30:T30,V30:AF30,AH30:AK30)</f>
        <v>28</v>
      </c>
      <c r="AN30" s="36"/>
      <c r="AO30" s="37"/>
      <c r="AP30" s="37"/>
      <c r="AQ30" s="49"/>
      <c r="AR30" s="50"/>
      <c r="AS30" s="49"/>
      <c r="AT30" s="49"/>
      <c r="AU30" s="48" t="e">
        <f>IF(AND('Баллы, оценки'!$AL6&lt;=38,'Баллы, оценки'!$AL6&gt;=31),5,IF(AND('Баллы, оценки'!$AL6&lt;=30.9,'Баллы, оценки'!$AL6&gt;=25),4,IF(AND('Баллы, оценки'!$AL6&lt;=24.9,'Баллы, оценки'!$AL6&gt;=21),3,н/а)))</f>
        <v>#NAME?</v>
      </c>
    </row>
    <row r="31" spans="1:47" ht="15.75" customHeight="1">
      <c r="A31" s="55"/>
      <c r="B31" s="28">
        <f t="shared" ref="B31:E31" si="0">COUNTA(B3:B30)</f>
        <v>26</v>
      </c>
      <c r="C31" s="28">
        <f t="shared" si="0"/>
        <v>27</v>
      </c>
      <c r="D31" s="28">
        <f t="shared" si="0"/>
        <v>21</v>
      </c>
      <c r="E31" s="28">
        <f t="shared" si="0"/>
        <v>24</v>
      </c>
      <c r="F31" s="28"/>
      <c r="G31" s="28">
        <f t="shared" ref="G31:J31" si="1">COUNTA(G3:G30)</f>
        <v>26</v>
      </c>
      <c r="H31" s="28">
        <f t="shared" si="1"/>
        <v>26</v>
      </c>
      <c r="I31" s="28">
        <f t="shared" si="1"/>
        <v>25</v>
      </c>
      <c r="J31" s="28">
        <f t="shared" si="1"/>
        <v>22</v>
      </c>
      <c r="K31" s="28"/>
      <c r="L31" s="28">
        <f t="shared" ref="L31:O31" si="2">COUNTA(L3:L30)</f>
        <v>21</v>
      </c>
      <c r="M31" s="28">
        <f t="shared" si="2"/>
        <v>21</v>
      </c>
      <c r="N31" s="28">
        <f t="shared" si="2"/>
        <v>22</v>
      </c>
      <c r="O31" s="28">
        <f t="shared" si="2"/>
        <v>0</v>
      </c>
      <c r="P31" s="28"/>
      <c r="Q31" s="28">
        <f t="shared" ref="Q31:T31" si="3">COUNTA(Q3:Q30)</f>
        <v>0</v>
      </c>
      <c r="R31" s="28">
        <f t="shared" si="3"/>
        <v>0</v>
      </c>
      <c r="S31" s="28">
        <f t="shared" si="3"/>
        <v>0</v>
      </c>
      <c r="T31" s="28">
        <f t="shared" si="3"/>
        <v>0</v>
      </c>
      <c r="U31" s="28"/>
      <c r="V31" s="199" t="s">
        <v>81</v>
      </c>
      <c r="W31" s="200"/>
      <c r="X31" s="200"/>
      <c r="Y31" s="200"/>
      <c r="Z31" s="200"/>
      <c r="AA31" s="200"/>
      <c r="AB31" s="201"/>
      <c r="AC31" s="199" t="s">
        <v>82</v>
      </c>
      <c r="AD31" s="200"/>
      <c r="AE31" s="200"/>
      <c r="AF31" s="201"/>
      <c r="AG31" s="30"/>
      <c r="AH31" s="28"/>
      <c r="AI31" s="28"/>
      <c r="AJ31" s="28"/>
      <c r="AK31" s="28"/>
      <c r="AL31" s="28"/>
      <c r="AM31" s="28"/>
      <c r="AN31" s="28"/>
      <c r="AO31" s="56"/>
      <c r="AP31" s="56"/>
      <c r="AQ31" s="35"/>
      <c r="AR31" s="35"/>
      <c r="AS31" s="35"/>
      <c r="AT31" s="35"/>
      <c r="AU31" s="35"/>
    </row>
    <row r="32" spans="1:47" ht="15.75" customHeight="1">
      <c r="A32" s="57" t="s">
        <v>83</v>
      </c>
      <c r="B32" s="41"/>
      <c r="C32" s="41"/>
      <c r="D32" s="41"/>
      <c r="E32" s="41"/>
      <c r="F32" s="43"/>
      <c r="G32" s="41"/>
      <c r="H32" s="41"/>
      <c r="I32" s="41"/>
      <c r="J32" s="41"/>
      <c r="K32" s="43"/>
      <c r="L32" s="41"/>
      <c r="M32" s="41"/>
      <c r="N32" s="41"/>
      <c r="O32" s="41"/>
      <c r="P32" s="41"/>
      <c r="Q32" s="41"/>
      <c r="R32" s="41"/>
      <c r="S32" s="41"/>
      <c r="T32" s="41"/>
      <c r="U32" s="43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3"/>
      <c r="AH32" s="41"/>
      <c r="AI32" s="41"/>
      <c r="AJ32" s="41"/>
      <c r="AK32" s="41"/>
      <c r="AL32" s="41"/>
      <c r="AM32" s="41"/>
      <c r="AN32" s="41"/>
      <c r="AO32" s="58"/>
      <c r="AP32" s="58"/>
      <c r="AQ32" s="58"/>
      <c r="AR32" s="41"/>
      <c r="AS32" s="58"/>
      <c r="AT32" s="58"/>
      <c r="AU32" s="58"/>
    </row>
    <row r="33" spans="1:47" ht="15.75" customHeight="1">
      <c r="A33" s="59" t="s">
        <v>84</v>
      </c>
      <c r="B33" s="28">
        <v>0.5</v>
      </c>
      <c r="C33" s="28">
        <v>0.5</v>
      </c>
      <c r="D33" s="28">
        <v>0.5</v>
      </c>
      <c r="E33" s="28">
        <v>2</v>
      </c>
      <c r="F33" s="30">
        <f>IF(SUM('Баллы, оценки'!$B33:$E33)&gt;=3.5,5,IF(AND(SUM('Баллы, оценки'!$B33:$E33)&gt;2.5,(SUM('Баллы, оценки'!$B33:$E33)&lt;3.5)),4,IF(AND(SUM('Баллы, оценки'!$B33:$E33)&lt;=2.5,(SUM('Баллы, оценки'!$B33:$E33)&gt;1.5)),3,2)))</f>
        <v>5</v>
      </c>
      <c r="G33" s="28">
        <v>0.5</v>
      </c>
      <c r="H33" s="28">
        <v>0.5</v>
      </c>
      <c r="I33" s="28">
        <v>0.5</v>
      </c>
      <c r="J33" s="28">
        <v>2</v>
      </c>
      <c r="K33" s="30">
        <f>IF(SUM('Баллы, оценки'!$G33:$J33)&gt;=3.5,5,IF(AND(SUM('Баллы, оценки'!$G33:$J33)&gt;2.5,(SUM('Баллы, оценки'!$G33:$J33)&lt;3.5)),4,IF(AND(SUM('Баллы, оценки'!$G33:$J33)&lt;=2.5,(SUM('Баллы, оценки'!$G33:$J33)&gt;1.5)),3,2)))</f>
        <v>5</v>
      </c>
      <c r="L33" s="28">
        <v>0.5</v>
      </c>
      <c r="M33" s="28">
        <v>0.5</v>
      </c>
      <c r="N33" s="28">
        <v>0.5</v>
      </c>
      <c r="O33" s="28">
        <v>2</v>
      </c>
      <c r="P33" s="30">
        <f>IF(SUM('Баллы, оценки'!$L33:$O33)&gt;=3.5,5,IF(AND(SUM('Баллы, оценки'!$L33:$O33)&gt;2.5,(SUM('Баллы, оценки'!$L33:$O33)&lt;3.5)),4,IF(AND(SUM('Баллы, оценки'!$L33:$O33)&lt;=2.5,(SUM('Баллы, оценки'!$L33:$O33)&gt;1.5)),3,2)))</f>
        <v>5</v>
      </c>
      <c r="Q33" s="28">
        <v>0.5</v>
      </c>
      <c r="R33" s="28">
        <v>0.5</v>
      </c>
      <c r="S33" s="28">
        <v>0.5</v>
      </c>
      <c r="T33" s="28">
        <v>2</v>
      </c>
      <c r="U33" s="30">
        <f>IF(SUM('Баллы, оценки'!$Q33:$T33)&gt;=3.5,5,IF(AND(SUM('Баллы, оценки'!$Q33:$T33)&gt;2.5,(SUM('Баллы, оценки'!$Q33:$T33)&lt;3.5)),4,IF(AND(SUM('Баллы, оценки'!$Q33:$T33)&lt;=2.5,(SUM('Баллы, оценки'!$Q33:$T33)&gt;1.5)),3,2)))</f>
        <v>5</v>
      </c>
      <c r="V33" s="28">
        <v>2</v>
      </c>
      <c r="W33" s="28">
        <v>2</v>
      </c>
      <c r="X33" s="28">
        <v>2</v>
      </c>
      <c r="Y33" s="28">
        <v>2</v>
      </c>
      <c r="Z33" s="28">
        <v>2</v>
      </c>
      <c r="AA33" s="28">
        <v>2</v>
      </c>
      <c r="AB33" s="28">
        <v>2</v>
      </c>
      <c r="AC33" s="28">
        <v>2</v>
      </c>
      <c r="AD33" s="28">
        <v>2</v>
      </c>
      <c r="AE33" s="28">
        <v>2</v>
      </c>
      <c r="AF33" s="28">
        <v>2</v>
      </c>
      <c r="AG33" s="35">
        <f>SUM('Баллы, оценки'!$B33:$E33,'Баллы, оценки'!$G33:$J33,'Баллы, оценки'!$L33:$O33,'Баллы, оценки'!$Q33:$T33,'Баллы, оценки'!$V33:$AF33)</f>
        <v>36</v>
      </c>
      <c r="AH33" s="202" t="s">
        <v>85</v>
      </c>
      <c r="AI33" s="200"/>
      <c r="AJ33" s="201"/>
      <c r="AK33" s="28"/>
      <c r="AL33" s="28"/>
      <c r="AM33" s="28"/>
      <c r="AN33" s="28"/>
      <c r="AO33" s="60"/>
      <c r="AP33" s="60"/>
      <c r="AQ33" s="60"/>
      <c r="AR33" s="60"/>
      <c r="AS33" s="60"/>
      <c r="AT33" s="60"/>
      <c r="AU33" s="60">
        <v>5</v>
      </c>
    </row>
    <row r="34" spans="1:47" ht="15.75" customHeight="1">
      <c r="A34" s="61" t="s">
        <v>86</v>
      </c>
      <c r="B34" s="41">
        <v>0.5</v>
      </c>
      <c r="C34" s="41">
        <v>0.5</v>
      </c>
      <c r="D34" s="41">
        <v>0.5</v>
      </c>
      <c r="E34" s="41">
        <v>1.5</v>
      </c>
      <c r="F34" s="43">
        <f>IF(SUM('Баллы, оценки'!$B34:$E34)&gt;=3.5,5,IF(AND(SUM('Баллы, оценки'!$B34:$E34)&gt;2.5,(SUM('Баллы, оценки'!$B34:$E34)&lt;3.5)),4,IF(AND(SUM('Баллы, оценки'!$B34:$E34)&lt;=2.5,(SUM('Баллы, оценки'!$B34:$E34)&gt;1.5)),3,2)))</f>
        <v>4</v>
      </c>
      <c r="G34" s="41">
        <v>0.5</v>
      </c>
      <c r="H34" s="41">
        <v>0.5</v>
      </c>
      <c r="I34" s="41">
        <v>0.5</v>
      </c>
      <c r="J34" s="41">
        <v>1.5</v>
      </c>
      <c r="K34" s="43">
        <f>IF(SUM('Баллы, оценки'!$G34:$J34)&gt;=3.5,5,IF(AND(SUM('Баллы, оценки'!$G34:$J34)&gt;2.5,(SUM('Баллы, оценки'!$G34:$J34)&lt;3.5)),4,IF(AND(SUM('Баллы, оценки'!$G34:$J34)&lt;=2.5,(SUM('Баллы, оценки'!$G34:$J34)&gt;1.5)),3,2)))</f>
        <v>4</v>
      </c>
      <c r="L34" s="41">
        <v>0.5</v>
      </c>
      <c r="M34" s="41">
        <v>0.5</v>
      </c>
      <c r="N34" s="41">
        <v>0.5</v>
      </c>
      <c r="O34" s="41">
        <v>1.5</v>
      </c>
      <c r="P34" s="43">
        <f>IF(SUM('Баллы, оценки'!$L34:$O34)&gt;=3.5,5,IF(AND(SUM('Баллы, оценки'!$L34:$O34)&gt;2.5,(SUM('Баллы, оценки'!$L34:$O34)&lt;3.5)),4,IF(AND(SUM('Баллы, оценки'!$L34:$O34)&lt;=2.5,(SUM('Баллы, оценки'!$L34:$O34)&gt;1.5)),3,2)))</f>
        <v>4</v>
      </c>
      <c r="Q34" s="41">
        <v>0.5</v>
      </c>
      <c r="R34" s="41">
        <v>0.5</v>
      </c>
      <c r="S34" s="41">
        <v>0.5</v>
      </c>
      <c r="T34" s="41">
        <v>1.5</v>
      </c>
      <c r="U34" s="43">
        <f>IF(SUM('Баллы, оценки'!$Q34:$T34)&gt;=3.5,5,IF(AND(SUM('Баллы, оценки'!$Q34:$T34)&gt;2.5,(SUM('Баллы, оценки'!$Q34:$T34)&lt;3.5)),4,IF(AND(SUM('Баллы, оценки'!$Q34:$T34)&lt;=2.5,(SUM('Баллы, оценки'!$Q34:$T34)&gt;1.5)),3,2)))</f>
        <v>4</v>
      </c>
      <c r="V34" s="41">
        <v>1.5</v>
      </c>
      <c r="W34" s="41">
        <v>1.5</v>
      </c>
      <c r="X34" s="41">
        <v>1.5</v>
      </c>
      <c r="Y34" s="41">
        <v>1.5</v>
      </c>
      <c r="Z34" s="41">
        <v>1.5</v>
      </c>
      <c r="AA34" s="41">
        <v>1.5</v>
      </c>
      <c r="AB34" s="41">
        <v>1.5</v>
      </c>
      <c r="AC34" s="41">
        <v>1.5</v>
      </c>
      <c r="AD34" s="41">
        <v>1.5</v>
      </c>
      <c r="AE34" s="41">
        <v>1.5</v>
      </c>
      <c r="AF34" s="41">
        <v>1.5</v>
      </c>
      <c r="AG34" s="48">
        <f>SUM('Баллы, оценки'!$B34:$E34,'Баллы, оценки'!$G34:$J34,'Баллы, оценки'!$L34:$O34,'Баллы, оценки'!$Q34:$T34,'Баллы, оценки'!$V34:$AF34)</f>
        <v>28.5</v>
      </c>
      <c r="AH34" s="203" t="s">
        <v>87</v>
      </c>
      <c r="AI34" s="204"/>
      <c r="AJ34" s="205"/>
      <c r="AK34" s="41"/>
      <c r="AL34" s="41"/>
      <c r="AM34" s="41"/>
      <c r="AN34" s="41"/>
      <c r="AO34" s="62"/>
      <c r="AP34" s="62"/>
      <c r="AQ34" s="62"/>
      <c r="AR34" s="62"/>
      <c r="AS34" s="62"/>
      <c r="AT34" s="62"/>
      <c r="AU34" s="62">
        <v>4</v>
      </c>
    </row>
    <row r="35" spans="1:47" ht="15.75" customHeight="1">
      <c r="A35" s="59" t="s">
        <v>88</v>
      </c>
      <c r="B35" s="28">
        <v>0.5</v>
      </c>
      <c r="C35" s="28">
        <v>0.5</v>
      </c>
      <c r="D35" s="28">
        <v>0.5</v>
      </c>
      <c r="E35" s="28">
        <v>1</v>
      </c>
      <c r="F35" s="30">
        <f>IF(SUM('Баллы, оценки'!$B35:$E35)&gt;=3.5,5,IF(AND(SUM('Баллы, оценки'!$B35:$E35)&gt;2.5,(SUM('Баллы, оценки'!$B35:$E35)&lt;3.5)),4,IF(AND(SUM('Баллы, оценки'!$B35:$E35)&lt;=2.5,(SUM('Баллы, оценки'!$B35:$E35)&gt;1.5)),3,2)))</f>
        <v>3</v>
      </c>
      <c r="G35" s="28">
        <v>0.5</v>
      </c>
      <c r="H35" s="28">
        <v>0.5</v>
      </c>
      <c r="I35" s="28">
        <v>0.5</v>
      </c>
      <c r="J35" s="28">
        <v>1</v>
      </c>
      <c r="K35" s="30">
        <f>IF(SUM('Баллы, оценки'!$G35:$J35)&gt;=3.5,5,IF(AND(SUM('Баллы, оценки'!$G35:$J35)&gt;2.5,(SUM('Баллы, оценки'!$G35:$J35)&lt;3.5)),4,IF(AND(SUM('Баллы, оценки'!$G35:$J35)&lt;=2.5,(SUM('Баллы, оценки'!$G35:$J35)&gt;1.5)),3,2)))</f>
        <v>3</v>
      </c>
      <c r="L35" s="28">
        <v>0.5</v>
      </c>
      <c r="M35" s="28">
        <v>0.5</v>
      </c>
      <c r="N35" s="28">
        <v>0.5</v>
      </c>
      <c r="O35" s="28">
        <v>1</v>
      </c>
      <c r="P35" s="30">
        <f>IF(SUM('Баллы, оценки'!$L35:$O35)&gt;=3.5,5,IF(AND(SUM('Баллы, оценки'!$L35:$O35)&gt;2.5,(SUM('Баллы, оценки'!$L35:$O35)&lt;3.5)),4,IF(AND(SUM('Баллы, оценки'!$L35:$O35)&lt;=2.5,(SUM('Баллы, оценки'!$L35:$O35)&gt;1.5)),3,2)))</f>
        <v>3</v>
      </c>
      <c r="Q35" s="28">
        <v>0.5</v>
      </c>
      <c r="R35" s="28">
        <v>0.5</v>
      </c>
      <c r="S35" s="28">
        <v>0.5</v>
      </c>
      <c r="T35" s="28">
        <v>1</v>
      </c>
      <c r="U35" s="30">
        <f>IF(SUM('Баллы, оценки'!$Q35:$T35)&gt;=3.5,5,IF(AND(SUM('Баллы, оценки'!$Q35:$T35)&gt;2.5,(SUM('Баллы, оценки'!$Q35:$T35)&lt;3.5)),4,IF(AND(SUM('Баллы, оценки'!$Q35:$T35)&lt;=2.5,(SUM('Баллы, оценки'!$Q35:$T35)&gt;1.5)),3,2)))</f>
        <v>3</v>
      </c>
      <c r="V35" s="28">
        <v>1</v>
      </c>
      <c r="W35" s="28">
        <v>1</v>
      </c>
      <c r="X35" s="28">
        <v>1</v>
      </c>
      <c r="Y35" s="28">
        <v>1</v>
      </c>
      <c r="Z35" s="28">
        <v>1</v>
      </c>
      <c r="AA35" s="28">
        <v>1</v>
      </c>
      <c r="AB35" s="28">
        <v>1</v>
      </c>
      <c r="AC35" s="28">
        <v>1</v>
      </c>
      <c r="AD35" s="28">
        <v>1</v>
      </c>
      <c r="AE35" s="28">
        <v>1</v>
      </c>
      <c r="AF35" s="28">
        <v>1</v>
      </c>
      <c r="AG35" s="35">
        <f>SUM('Баллы, оценки'!$B35:$E35,'Баллы, оценки'!$G35:$J35,'Баллы, оценки'!$L35:$O35,'Баллы, оценки'!$Q35:$T35,'Баллы, оценки'!$V35:$AF35)</f>
        <v>21</v>
      </c>
      <c r="AH35" s="202" t="s">
        <v>89</v>
      </c>
      <c r="AI35" s="200"/>
      <c r="AJ35" s="201"/>
      <c r="AK35" s="28"/>
      <c r="AL35" s="28"/>
      <c r="AM35" s="28"/>
      <c r="AN35" s="28"/>
      <c r="AO35" s="60"/>
      <c r="AP35" s="60"/>
      <c r="AQ35" s="60"/>
      <c r="AR35" s="60"/>
      <c r="AS35" s="60"/>
      <c r="AT35" s="60"/>
      <c r="AU35" s="60">
        <v>3</v>
      </c>
    </row>
    <row r="36" spans="1:47" ht="15.75" customHeight="1">
      <c r="A36" s="63" t="s">
        <v>90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58"/>
      <c r="AP36" s="58"/>
      <c r="AQ36" s="58"/>
      <c r="AR36" s="41"/>
      <c r="AS36" s="58"/>
      <c r="AT36" s="58"/>
      <c r="AU36" s="58"/>
    </row>
    <row r="37" spans="1:47" ht="15.75" customHeight="1">
      <c r="A37" s="64" t="s">
        <v>91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56"/>
      <c r="AP37" s="56"/>
      <c r="AQ37" s="56"/>
      <c r="AR37" s="28"/>
      <c r="AS37" s="56"/>
      <c r="AT37" s="56"/>
      <c r="AU37" s="56"/>
    </row>
    <row r="38" spans="1:47" ht="15.75" customHeight="1">
      <c r="A38" s="65" t="s">
        <v>92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58"/>
      <c r="AP38" s="58"/>
      <c r="AQ38" s="58"/>
      <c r="AR38" s="41"/>
      <c r="AS38" s="58"/>
      <c r="AT38" s="58"/>
      <c r="AU38" s="58"/>
    </row>
    <row r="39" spans="1:47" ht="15.75" customHeight="1">
      <c r="A39" s="64" t="s">
        <v>93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56"/>
      <c r="AP39" s="56"/>
      <c r="AQ39" s="56"/>
      <c r="AR39" s="28"/>
      <c r="AS39" s="56"/>
      <c r="AT39" s="56"/>
      <c r="AU39" s="56"/>
    </row>
    <row r="40" spans="1:47" ht="15.75" customHeight="1">
      <c r="A40" s="66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58"/>
      <c r="AP40" s="58"/>
      <c r="AQ40" s="58"/>
      <c r="AR40" s="41"/>
      <c r="AS40" s="58"/>
      <c r="AT40" s="58"/>
      <c r="AU40" s="58"/>
    </row>
    <row r="41" spans="1:47" ht="15.75" customHeight="1">
      <c r="A41" s="67" t="s">
        <v>94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56"/>
      <c r="AP41" s="56"/>
      <c r="AQ41" s="56"/>
      <c r="AR41" s="28"/>
      <c r="AS41" s="56"/>
      <c r="AT41" s="56"/>
      <c r="AU41" s="56"/>
    </row>
    <row r="42" spans="1:47" ht="15.75" customHeight="1">
      <c r="A42" s="68" t="s">
        <v>95</v>
      </c>
      <c r="B42" s="41">
        <v>0.5</v>
      </c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58"/>
      <c r="AP42" s="58"/>
      <c r="AQ42" s="58"/>
      <c r="AR42" s="41"/>
      <c r="AS42" s="58"/>
      <c r="AT42" s="58"/>
      <c r="AU42" s="58"/>
    </row>
    <row r="43" spans="1:47" ht="15.75" customHeight="1">
      <c r="A43" s="69" t="s">
        <v>96</v>
      </c>
      <c r="B43" s="28">
        <v>2</v>
      </c>
      <c r="C43" s="30" t="s">
        <v>97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56"/>
      <c r="AP43" s="56"/>
      <c r="AQ43" s="56"/>
      <c r="AR43" s="28"/>
      <c r="AS43" s="56"/>
      <c r="AT43" s="56"/>
      <c r="AU43" s="56"/>
    </row>
    <row r="44" spans="1:47" ht="15.75" customHeight="1">
      <c r="A44" s="68" t="s">
        <v>98</v>
      </c>
      <c r="B44" s="41">
        <v>1.5</v>
      </c>
      <c r="C44" s="43" t="s">
        <v>99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58"/>
      <c r="AP44" s="58"/>
      <c r="AQ44" s="58"/>
      <c r="AR44" s="41"/>
      <c r="AS44" s="58"/>
      <c r="AT44" s="58"/>
      <c r="AU44" s="58"/>
    </row>
    <row r="45" spans="1:47" ht="15.75" customHeight="1">
      <c r="A45" s="69" t="s">
        <v>100</v>
      </c>
      <c r="B45" s="28">
        <v>1</v>
      </c>
      <c r="C45" s="30" t="s">
        <v>101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56"/>
      <c r="AP45" s="56"/>
      <c r="AQ45" s="56"/>
      <c r="AR45" s="28"/>
      <c r="AS45" s="56"/>
      <c r="AT45" s="56"/>
      <c r="AU45" s="56"/>
    </row>
    <row r="46" spans="1:47" ht="15" customHeight="1">
      <c r="A46" s="70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58"/>
      <c r="AP46" s="58"/>
      <c r="AQ46" s="58"/>
      <c r="AR46" s="41"/>
      <c r="AS46" s="58"/>
      <c r="AT46" s="58"/>
      <c r="AU46" s="58"/>
    </row>
    <row r="47" spans="1:47" ht="15.75" customHeight="1">
      <c r="A47" s="71" t="s">
        <v>102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56"/>
      <c r="AP47" s="56"/>
      <c r="AQ47" s="56"/>
      <c r="AR47" s="28"/>
      <c r="AS47" s="56"/>
      <c r="AT47" s="56"/>
      <c r="AU47" s="56"/>
    </row>
    <row r="48" spans="1:47" ht="15.75" customHeight="1">
      <c r="A48" s="72" t="s">
        <v>103</v>
      </c>
      <c r="B48" s="41">
        <v>0.25</v>
      </c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58"/>
      <c r="AP48" s="58"/>
      <c r="AQ48" s="58"/>
      <c r="AR48" s="41"/>
      <c r="AS48" s="58"/>
      <c r="AT48" s="58"/>
      <c r="AU48" s="58"/>
    </row>
    <row r="49" spans="1:47" ht="15.75" customHeight="1">
      <c r="A49" s="73" t="s">
        <v>104</v>
      </c>
      <c r="B49" s="28">
        <v>0.25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56"/>
      <c r="AP49" s="56"/>
      <c r="AQ49" s="56"/>
      <c r="AR49" s="28"/>
      <c r="AS49" s="56"/>
      <c r="AT49" s="56"/>
      <c r="AU49" s="56"/>
    </row>
    <row r="50" spans="1:47" ht="15.75" customHeight="1">
      <c r="A50" s="72" t="s">
        <v>105</v>
      </c>
      <c r="B50" s="41">
        <v>0.25</v>
      </c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58"/>
      <c r="AP50" s="58"/>
      <c r="AQ50" s="58"/>
      <c r="AR50" s="41"/>
      <c r="AS50" s="58"/>
      <c r="AT50" s="58"/>
      <c r="AU50" s="58"/>
    </row>
    <row r="51" spans="1:47" ht="15.75" customHeight="1">
      <c r="A51" s="73" t="s">
        <v>106</v>
      </c>
      <c r="B51" s="28">
        <v>0.5</v>
      </c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56"/>
      <c r="AP51" s="56"/>
      <c r="AQ51" s="56"/>
      <c r="AR51" s="28"/>
      <c r="AS51" s="56"/>
      <c r="AT51" s="56"/>
      <c r="AU51" s="56"/>
    </row>
    <row r="52" spans="1:47" ht="15.75" customHeight="1">
      <c r="A52" s="74" t="s">
        <v>107</v>
      </c>
      <c r="B52" s="41">
        <v>0.5</v>
      </c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58"/>
      <c r="AP52" s="58"/>
      <c r="AQ52" s="58"/>
      <c r="AR52" s="41"/>
      <c r="AS52" s="58"/>
      <c r="AT52" s="58"/>
      <c r="AU52" s="58"/>
    </row>
    <row r="53" spans="1:47" ht="45.75" customHeight="1">
      <c r="A53" s="75" t="s">
        <v>108</v>
      </c>
      <c r="B53" s="28">
        <v>0.5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56"/>
      <c r="AP53" s="56"/>
      <c r="AQ53" s="56"/>
      <c r="AR53" s="28"/>
      <c r="AS53" s="56"/>
      <c r="AT53" s="56"/>
      <c r="AU53" s="56"/>
    </row>
    <row r="54" spans="1:47" ht="15.75" customHeight="1">
      <c r="A54" s="74" t="s">
        <v>109</v>
      </c>
      <c r="B54" s="41">
        <v>1</v>
      </c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58"/>
      <c r="AP54" s="58"/>
      <c r="AQ54" s="58"/>
      <c r="AR54" s="41"/>
      <c r="AS54" s="58"/>
      <c r="AT54" s="58"/>
      <c r="AU54" s="58"/>
    </row>
    <row r="55" spans="1:47" ht="15.75" customHeight="1">
      <c r="A55" s="69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56"/>
      <c r="AP55" s="56"/>
      <c r="AQ55" s="56"/>
      <c r="AR55" s="28"/>
      <c r="AS55" s="56"/>
      <c r="AT55" s="56"/>
      <c r="AU55" s="56"/>
    </row>
    <row r="56" spans="1:47" ht="15.75" customHeight="1">
      <c r="A56" s="76"/>
      <c r="B56" s="77"/>
      <c r="C56" s="77"/>
      <c r="D56" s="77"/>
      <c r="E56" s="77"/>
      <c r="F56" s="78">
        <v>4</v>
      </c>
      <c r="G56" s="77">
        <v>4</v>
      </c>
      <c r="H56" s="77">
        <v>4</v>
      </c>
      <c r="I56" s="77">
        <v>4</v>
      </c>
      <c r="J56" s="77">
        <v>4</v>
      </c>
      <c r="K56" s="78">
        <v>3</v>
      </c>
      <c r="L56" s="77">
        <v>3</v>
      </c>
      <c r="M56" s="77">
        <v>3</v>
      </c>
      <c r="N56" s="77">
        <v>3</v>
      </c>
      <c r="O56" s="77">
        <v>3</v>
      </c>
      <c r="P56" s="78">
        <v>4</v>
      </c>
      <c r="Q56" s="77">
        <v>3</v>
      </c>
      <c r="R56" s="77">
        <v>3</v>
      </c>
      <c r="S56" s="77">
        <v>3</v>
      </c>
      <c r="T56" s="77">
        <v>3</v>
      </c>
      <c r="U56" s="78">
        <v>3</v>
      </c>
      <c r="V56" s="79">
        <f>AVERAGE('Баллы, оценки'!$F56:$U56)</f>
        <v>3.375</v>
      </c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80"/>
      <c r="AM56" s="80"/>
      <c r="AN56" s="80"/>
      <c r="AO56" s="81"/>
      <c r="AP56" s="81"/>
      <c r="AQ56" s="81"/>
      <c r="AR56" s="80"/>
      <c r="AS56" s="81"/>
      <c r="AT56" s="81"/>
      <c r="AU56" s="81"/>
    </row>
    <row r="57" spans="1:47" ht="15.75" customHeight="1">
      <c r="A57" s="82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4"/>
      <c r="AM57" s="84"/>
      <c r="AN57" s="84"/>
      <c r="AO57" s="82"/>
      <c r="AP57" s="82"/>
      <c r="AQ57" s="82"/>
      <c r="AR57" s="84"/>
      <c r="AS57" s="82"/>
      <c r="AT57" s="82"/>
      <c r="AU57" s="82"/>
    </row>
    <row r="58" spans="1:47" ht="15.75" customHeight="1">
      <c r="A58" s="82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4"/>
      <c r="AM58" s="84"/>
      <c r="AN58" s="84"/>
      <c r="AO58" s="82"/>
      <c r="AP58" s="82"/>
      <c r="AQ58" s="82"/>
      <c r="AR58" s="84"/>
      <c r="AS58" s="82"/>
      <c r="AT58" s="82"/>
      <c r="AU58" s="82"/>
    </row>
    <row r="59" spans="1:47" ht="15.75" customHeight="1">
      <c r="A59" s="82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4"/>
      <c r="AM59" s="84"/>
      <c r="AN59" s="84"/>
      <c r="AO59" s="82"/>
      <c r="AP59" s="82"/>
      <c r="AQ59" s="82"/>
      <c r="AR59" s="84"/>
      <c r="AS59" s="82"/>
      <c r="AT59" s="82"/>
      <c r="AU59" s="82"/>
    </row>
    <row r="60" spans="1:47" ht="15.75" customHeight="1">
      <c r="A60" s="82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4"/>
      <c r="AM60" s="84"/>
      <c r="AN60" s="84"/>
      <c r="AO60" s="82"/>
      <c r="AP60" s="82"/>
      <c r="AQ60" s="82"/>
      <c r="AR60" s="84"/>
      <c r="AS60" s="82"/>
      <c r="AT60" s="82"/>
      <c r="AU60" s="82"/>
    </row>
    <row r="61" spans="1:47" ht="15.75" customHeight="1">
      <c r="A61" s="82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4"/>
      <c r="AM61" s="84"/>
      <c r="AN61" s="84"/>
      <c r="AO61" s="82"/>
      <c r="AP61" s="82"/>
      <c r="AQ61" s="82"/>
      <c r="AR61" s="84"/>
      <c r="AS61" s="82"/>
      <c r="AT61" s="82"/>
      <c r="AU61" s="82"/>
    </row>
    <row r="62" spans="1:47" ht="15.75" customHeight="1">
      <c r="A62" s="82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4"/>
      <c r="AM62" s="84"/>
      <c r="AN62" s="84"/>
      <c r="AO62" s="82"/>
      <c r="AP62" s="82"/>
      <c r="AQ62" s="82"/>
      <c r="AR62" s="84"/>
      <c r="AS62" s="82"/>
      <c r="AT62" s="82"/>
      <c r="AU62" s="82"/>
    </row>
    <row r="63" spans="1:47" ht="15.75" customHeight="1">
      <c r="A63" s="82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4"/>
      <c r="AM63" s="84"/>
      <c r="AN63" s="84"/>
      <c r="AO63" s="82"/>
      <c r="AP63" s="82"/>
      <c r="AQ63" s="82"/>
      <c r="AR63" s="84"/>
      <c r="AS63" s="82"/>
      <c r="AT63" s="82"/>
      <c r="AU63" s="82"/>
    </row>
    <row r="64" spans="1:47" ht="15.75" customHeight="1">
      <c r="A64" s="82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4"/>
      <c r="AM64" s="84"/>
      <c r="AN64" s="84"/>
      <c r="AO64" s="82"/>
      <c r="AP64" s="82"/>
      <c r="AQ64" s="82"/>
      <c r="AR64" s="84"/>
      <c r="AS64" s="82"/>
      <c r="AT64" s="82"/>
      <c r="AU64" s="82"/>
    </row>
    <row r="65" spans="1:47" ht="15.75" customHeight="1">
      <c r="A65" s="82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4"/>
      <c r="AM65" s="84"/>
      <c r="AN65" s="84"/>
      <c r="AO65" s="82"/>
      <c r="AP65" s="82"/>
      <c r="AQ65" s="82"/>
      <c r="AR65" s="84"/>
      <c r="AS65" s="82"/>
      <c r="AT65" s="82"/>
      <c r="AU65" s="82"/>
    </row>
    <row r="66" spans="1:47" ht="15.75" customHeight="1">
      <c r="A66" s="82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4"/>
      <c r="AM66" s="84"/>
      <c r="AN66" s="84"/>
      <c r="AO66" s="82"/>
      <c r="AP66" s="82"/>
      <c r="AQ66" s="82"/>
      <c r="AR66" s="84"/>
      <c r="AS66" s="82"/>
      <c r="AT66" s="82"/>
      <c r="AU66" s="82"/>
    </row>
    <row r="67" spans="1:47" ht="15.75" customHeight="1">
      <c r="A67" s="82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4"/>
      <c r="AM67" s="84"/>
      <c r="AN67" s="84"/>
      <c r="AO67" s="82"/>
      <c r="AP67" s="82"/>
      <c r="AQ67" s="82"/>
      <c r="AR67" s="84"/>
      <c r="AS67" s="82"/>
      <c r="AT67" s="82"/>
      <c r="AU67" s="82"/>
    </row>
    <row r="68" spans="1:47" ht="15.75" customHeight="1">
      <c r="A68" s="82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4"/>
      <c r="AM68" s="84"/>
      <c r="AN68" s="84"/>
      <c r="AO68" s="82"/>
      <c r="AP68" s="82"/>
      <c r="AQ68" s="82"/>
      <c r="AR68" s="84"/>
      <c r="AS68" s="82"/>
      <c r="AT68" s="82"/>
      <c r="AU68" s="82"/>
    </row>
    <row r="69" spans="1:47" ht="15.75" customHeight="1">
      <c r="A69" s="82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4"/>
      <c r="AM69" s="84"/>
      <c r="AN69" s="84"/>
      <c r="AO69" s="82"/>
      <c r="AP69" s="82"/>
      <c r="AQ69" s="82"/>
      <c r="AR69" s="84"/>
      <c r="AS69" s="82"/>
      <c r="AT69" s="82"/>
      <c r="AU69" s="82"/>
    </row>
    <row r="70" spans="1:47" ht="15.75" customHeight="1">
      <c r="A70" s="82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4"/>
      <c r="AM70" s="84"/>
      <c r="AN70" s="84"/>
      <c r="AO70" s="82"/>
      <c r="AP70" s="82"/>
      <c r="AQ70" s="82"/>
      <c r="AR70" s="84"/>
      <c r="AS70" s="82"/>
      <c r="AT70" s="82"/>
      <c r="AU70" s="82"/>
    </row>
    <row r="71" spans="1:47" ht="15.75" customHeight="1">
      <c r="A71" s="82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4"/>
      <c r="AM71" s="84"/>
      <c r="AN71" s="84"/>
      <c r="AO71" s="82"/>
      <c r="AP71" s="82"/>
      <c r="AQ71" s="82"/>
      <c r="AR71" s="84"/>
      <c r="AS71" s="82"/>
      <c r="AT71" s="82"/>
      <c r="AU71" s="82"/>
    </row>
    <row r="72" spans="1:47" ht="15.75" customHeight="1">
      <c r="A72" s="82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4"/>
      <c r="AM72" s="84"/>
      <c r="AN72" s="84"/>
      <c r="AO72" s="82"/>
      <c r="AP72" s="82"/>
      <c r="AQ72" s="82"/>
      <c r="AR72" s="84"/>
      <c r="AS72" s="82"/>
      <c r="AT72" s="82"/>
      <c r="AU72" s="82"/>
    </row>
    <row r="73" spans="1:47" ht="15.75" customHeight="1">
      <c r="A73" s="82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4"/>
      <c r="AM73" s="84"/>
      <c r="AN73" s="84"/>
      <c r="AO73" s="82"/>
      <c r="AP73" s="82"/>
      <c r="AQ73" s="82"/>
      <c r="AR73" s="84"/>
      <c r="AS73" s="82"/>
      <c r="AT73" s="82"/>
      <c r="AU73" s="82"/>
    </row>
    <row r="74" spans="1:47" ht="15.75" customHeight="1">
      <c r="A74" s="82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4"/>
      <c r="AM74" s="84"/>
      <c r="AN74" s="84"/>
      <c r="AO74" s="82"/>
      <c r="AP74" s="82"/>
      <c r="AQ74" s="82"/>
      <c r="AR74" s="84"/>
      <c r="AS74" s="82"/>
      <c r="AT74" s="82"/>
      <c r="AU74" s="82"/>
    </row>
    <row r="75" spans="1:47" ht="15.75" customHeight="1">
      <c r="A75" s="82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4"/>
      <c r="AM75" s="84"/>
      <c r="AN75" s="84"/>
      <c r="AO75" s="82"/>
      <c r="AP75" s="82"/>
      <c r="AQ75" s="82"/>
      <c r="AR75" s="84"/>
      <c r="AS75" s="82"/>
      <c r="AT75" s="82"/>
      <c r="AU75" s="82"/>
    </row>
    <row r="76" spans="1:47" ht="15.75" customHeight="1">
      <c r="A76" s="82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4"/>
      <c r="AM76" s="84"/>
      <c r="AN76" s="84"/>
      <c r="AO76" s="82"/>
      <c r="AP76" s="82"/>
      <c r="AQ76" s="82"/>
      <c r="AR76" s="84"/>
      <c r="AS76" s="82"/>
      <c r="AT76" s="82"/>
      <c r="AU76" s="82"/>
    </row>
    <row r="77" spans="1:47" ht="15.75" customHeight="1">
      <c r="A77" s="82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4"/>
      <c r="AM77" s="84"/>
      <c r="AN77" s="84"/>
      <c r="AO77" s="82"/>
      <c r="AP77" s="82"/>
      <c r="AQ77" s="82"/>
      <c r="AR77" s="84"/>
      <c r="AS77" s="82"/>
      <c r="AT77" s="82"/>
      <c r="AU77" s="82"/>
    </row>
    <row r="78" spans="1:47" ht="15.75" customHeight="1">
      <c r="A78" s="82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4"/>
      <c r="AM78" s="84"/>
      <c r="AN78" s="84"/>
      <c r="AO78" s="82"/>
      <c r="AP78" s="82"/>
      <c r="AQ78" s="82"/>
      <c r="AR78" s="84"/>
      <c r="AS78" s="82"/>
      <c r="AT78" s="82"/>
      <c r="AU78" s="82"/>
    </row>
    <row r="79" spans="1:47" ht="15.75" customHeight="1">
      <c r="A79" s="82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4"/>
      <c r="AM79" s="84"/>
      <c r="AN79" s="84"/>
      <c r="AO79" s="82"/>
      <c r="AP79" s="82"/>
      <c r="AQ79" s="82"/>
      <c r="AR79" s="84"/>
      <c r="AS79" s="82"/>
      <c r="AT79" s="82"/>
      <c r="AU79" s="82"/>
    </row>
    <row r="80" spans="1:47" ht="15.75" customHeight="1">
      <c r="A80" s="82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4"/>
      <c r="AM80" s="84"/>
      <c r="AN80" s="84"/>
      <c r="AO80" s="82"/>
      <c r="AP80" s="82"/>
      <c r="AQ80" s="82"/>
      <c r="AR80" s="84"/>
      <c r="AS80" s="82"/>
      <c r="AT80" s="82"/>
      <c r="AU80" s="82"/>
    </row>
    <row r="81" spans="1:47" ht="15.75" customHeight="1">
      <c r="A81" s="82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4"/>
      <c r="AM81" s="84"/>
      <c r="AN81" s="84"/>
      <c r="AO81" s="82"/>
      <c r="AP81" s="82"/>
      <c r="AQ81" s="82"/>
      <c r="AR81" s="84"/>
      <c r="AS81" s="82"/>
      <c r="AT81" s="82"/>
      <c r="AU81" s="82"/>
    </row>
    <row r="82" spans="1:47" ht="15.75" customHeight="1">
      <c r="A82" s="82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4"/>
      <c r="AM82" s="84"/>
      <c r="AN82" s="84"/>
      <c r="AO82" s="82"/>
      <c r="AP82" s="82"/>
      <c r="AQ82" s="82"/>
      <c r="AR82" s="84"/>
      <c r="AS82" s="82"/>
      <c r="AT82" s="82"/>
      <c r="AU82" s="82"/>
    </row>
    <row r="83" spans="1:47" ht="15.75" customHeight="1">
      <c r="A83" s="82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4"/>
      <c r="AM83" s="84"/>
      <c r="AN83" s="84"/>
      <c r="AO83" s="82"/>
      <c r="AP83" s="82"/>
      <c r="AQ83" s="82"/>
      <c r="AR83" s="84"/>
      <c r="AS83" s="82"/>
      <c r="AT83" s="82"/>
      <c r="AU83" s="82"/>
    </row>
    <row r="84" spans="1:47" ht="15.75" customHeight="1">
      <c r="A84" s="82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4"/>
      <c r="AM84" s="84"/>
      <c r="AN84" s="84"/>
      <c r="AO84" s="82"/>
      <c r="AP84" s="82"/>
      <c r="AQ84" s="82"/>
      <c r="AR84" s="84"/>
      <c r="AS84" s="82"/>
      <c r="AT84" s="82"/>
      <c r="AU84" s="82"/>
    </row>
    <row r="85" spans="1:47" ht="15.75" customHeight="1">
      <c r="A85" s="82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4"/>
      <c r="AM85" s="84"/>
      <c r="AN85" s="84"/>
      <c r="AO85" s="82"/>
      <c r="AP85" s="82"/>
      <c r="AQ85" s="82"/>
      <c r="AR85" s="84"/>
      <c r="AS85" s="82"/>
      <c r="AT85" s="82"/>
      <c r="AU85" s="82"/>
    </row>
    <row r="86" spans="1:47" ht="15.75" customHeight="1">
      <c r="A86" s="82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4"/>
      <c r="AM86" s="84"/>
      <c r="AN86" s="84"/>
      <c r="AO86" s="82"/>
      <c r="AP86" s="82"/>
      <c r="AQ86" s="82"/>
      <c r="AR86" s="84"/>
      <c r="AS86" s="82"/>
      <c r="AT86" s="82"/>
      <c r="AU86" s="82"/>
    </row>
    <row r="87" spans="1:47" ht="15.75" customHeight="1">
      <c r="A87" s="82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4"/>
      <c r="AM87" s="84"/>
      <c r="AN87" s="84"/>
      <c r="AO87" s="82"/>
      <c r="AP87" s="82"/>
      <c r="AQ87" s="82"/>
      <c r="AR87" s="84"/>
      <c r="AS87" s="82"/>
      <c r="AT87" s="82"/>
      <c r="AU87" s="82"/>
    </row>
    <row r="88" spans="1:47" ht="15.75" customHeight="1">
      <c r="A88" s="82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4"/>
      <c r="AM88" s="84"/>
      <c r="AN88" s="84"/>
      <c r="AO88" s="82"/>
      <c r="AP88" s="82"/>
      <c r="AQ88" s="82"/>
      <c r="AR88" s="84"/>
      <c r="AS88" s="82"/>
      <c r="AT88" s="82"/>
      <c r="AU88" s="82"/>
    </row>
    <row r="89" spans="1:47" ht="15.75" customHeight="1">
      <c r="A89" s="82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4"/>
      <c r="AM89" s="84"/>
      <c r="AN89" s="84"/>
      <c r="AO89" s="82"/>
      <c r="AP89" s="82"/>
      <c r="AQ89" s="82"/>
      <c r="AR89" s="84"/>
      <c r="AS89" s="82"/>
      <c r="AT89" s="82"/>
      <c r="AU89" s="82"/>
    </row>
    <row r="90" spans="1:47" ht="15.75" customHeight="1">
      <c r="A90" s="82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4"/>
      <c r="AM90" s="84"/>
      <c r="AN90" s="84"/>
      <c r="AO90" s="82"/>
      <c r="AP90" s="82"/>
      <c r="AQ90" s="82"/>
      <c r="AR90" s="84"/>
      <c r="AS90" s="82"/>
      <c r="AT90" s="82"/>
      <c r="AU90" s="82"/>
    </row>
    <row r="91" spans="1:47" ht="15.75" customHeight="1">
      <c r="A91" s="82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4"/>
      <c r="AM91" s="84"/>
      <c r="AN91" s="84"/>
      <c r="AO91" s="82"/>
      <c r="AP91" s="82"/>
      <c r="AQ91" s="82"/>
      <c r="AR91" s="84"/>
      <c r="AS91" s="82"/>
      <c r="AT91" s="82"/>
      <c r="AU91" s="82"/>
    </row>
    <row r="92" spans="1:47" ht="15.75" customHeight="1">
      <c r="A92" s="82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4"/>
      <c r="AM92" s="84"/>
      <c r="AN92" s="84"/>
      <c r="AO92" s="82"/>
      <c r="AP92" s="82"/>
      <c r="AQ92" s="82"/>
      <c r="AR92" s="84"/>
      <c r="AS92" s="82"/>
      <c r="AT92" s="82"/>
      <c r="AU92" s="82"/>
    </row>
    <row r="93" spans="1:47" ht="15.75" customHeight="1">
      <c r="A93" s="82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4"/>
      <c r="AM93" s="84"/>
      <c r="AN93" s="84"/>
      <c r="AO93" s="82"/>
      <c r="AP93" s="82"/>
      <c r="AQ93" s="82"/>
      <c r="AR93" s="84"/>
      <c r="AS93" s="82"/>
      <c r="AT93" s="82"/>
      <c r="AU93" s="82"/>
    </row>
    <row r="94" spans="1:47" ht="15.75" customHeight="1">
      <c r="A94" s="82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4"/>
      <c r="AM94" s="84"/>
      <c r="AN94" s="84"/>
      <c r="AO94" s="82"/>
      <c r="AP94" s="82"/>
      <c r="AQ94" s="82"/>
      <c r="AR94" s="84"/>
      <c r="AS94" s="82"/>
      <c r="AT94" s="82"/>
      <c r="AU94" s="82"/>
    </row>
    <row r="95" spans="1:47" ht="15.75" customHeight="1">
      <c r="A95" s="82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4"/>
      <c r="AM95" s="84"/>
      <c r="AN95" s="84"/>
      <c r="AO95" s="82"/>
      <c r="AP95" s="82"/>
      <c r="AQ95" s="82"/>
      <c r="AR95" s="84"/>
      <c r="AS95" s="82"/>
      <c r="AT95" s="82"/>
      <c r="AU95" s="82"/>
    </row>
    <row r="96" spans="1:47" ht="15.75" customHeight="1">
      <c r="A96" s="82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4"/>
      <c r="AM96" s="84"/>
      <c r="AN96" s="84"/>
      <c r="AO96" s="82"/>
      <c r="AP96" s="82"/>
      <c r="AQ96" s="82"/>
      <c r="AR96" s="84"/>
      <c r="AS96" s="82"/>
      <c r="AT96" s="82"/>
      <c r="AU96" s="82"/>
    </row>
    <row r="97" spans="1:47" ht="15.75" customHeight="1">
      <c r="A97" s="82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4"/>
      <c r="AM97" s="84"/>
      <c r="AN97" s="84"/>
      <c r="AO97" s="82"/>
      <c r="AP97" s="82"/>
      <c r="AQ97" s="82"/>
      <c r="AR97" s="84"/>
      <c r="AS97" s="82"/>
      <c r="AT97" s="82"/>
      <c r="AU97" s="82"/>
    </row>
    <row r="98" spans="1:47" ht="15.75" customHeight="1">
      <c r="A98" s="82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4"/>
      <c r="AM98" s="84"/>
      <c r="AN98" s="84"/>
      <c r="AO98" s="82"/>
      <c r="AP98" s="82"/>
      <c r="AQ98" s="82"/>
      <c r="AR98" s="84"/>
      <c r="AS98" s="82"/>
      <c r="AT98" s="82"/>
      <c r="AU98" s="82"/>
    </row>
    <row r="99" spans="1:47" ht="15.75" customHeight="1">
      <c r="A99" s="82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4"/>
      <c r="AM99" s="84"/>
      <c r="AN99" s="84"/>
      <c r="AO99" s="82"/>
      <c r="AP99" s="82"/>
      <c r="AQ99" s="82"/>
      <c r="AR99" s="84"/>
      <c r="AS99" s="82"/>
      <c r="AT99" s="82"/>
      <c r="AU99" s="82"/>
    </row>
    <row r="100" spans="1:47" ht="15.75" customHeight="1">
      <c r="A100" s="82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4"/>
      <c r="AM100" s="84"/>
      <c r="AN100" s="84"/>
      <c r="AO100" s="82"/>
      <c r="AP100" s="82"/>
      <c r="AQ100" s="82"/>
      <c r="AR100" s="84"/>
      <c r="AS100" s="82"/>
      <c r="AT100" s="82"/>
      <c r="AU100" s="82"/>
    </row>
    <row r="101" spans="1:47" ht="15.75" customHeight="1">
      <c r="A101" s="82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4"/>
      <c r="AM101" s="84"/>
      <c r="AN101" s="84"/>
      <c r="AO101" s="82"/>
      <c r="AP101" s="82"/>
      <c r="AQ101" s="82"/>
      <c r="AR101" s="84"/>
      <c r="AS101" s="82"/>
      <c r="AT101" s="82"/>
      <c r="AU101" s="82"/>
    </row>
    <row r="102" spans="1:47" ht="15.75" customHeight="1">
      <c r="A102" s="82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4"/>
      <c r="AM102" s="84"/>
      <c r="AN102" s="84"/>
      <c r="AO102" s="82"/>
      <c r="AP102" s="82"/>
      <c r="AQ102" s="82"/>
      <c r="AR102" s="84"/>
      <c r="AS102" s="82"/>
      <c r="AT102" s="82"/>
      <c r="AU102" s="82"/>
    </row>
    <row r="103" spans="1:47" ht="15.75" customHeight="1">
      <c r="A103" s="82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4"/>
      <c r="AM103" s="84"/>
      <c r="AN103" s="84"/>
      <c r="AO103" s="82"/>
      <c r="AP103" s="82"/>
      <c r="AQ103" s="82"/>
      <c r="AR103" s="84"/>
      <c r="AS103" s="82"/>
      <c r="AT103" s="82"/>
      <c r="AU103" s="82"/>
    </row>
    <row r="104" spans="1:47" ht="15.75" customHeight="1">
      <c r="A104" s="82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4"/>
      <c r="AM104" s="84"/>
      <c r="AN104" s="84"/>
      <c r="AO104" s="82"/>
      <c r="AP104" s="82"/>
      <c r="AQ104" s="82"/>
      <c r="AR104" s="84"/>
      <c r="AS104" s="82"/>
      <c r="AT104" s="82"/>
      <c r="AU104" s="82"/>
    </row>
    <row r="105" spans="1:47" ht="15.75" customHeight="1">
      <c r="A105" s="82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4"/>
      <c r="AM105" s="84"/>
      <c r="AN105" s="84"/>
      <c r="AO105" s="82"/>
      <c r="AP105" s="82"/>
      <c r="AQ105" s="82"/>
      <c r="AR105" s="84"/>
      <c r="AS105" s="82"/>
      <c r="AT105" s="82"/>
      <c r="AU105" s="82"/>
    </row>
    <row r="106" spans="1:47" ht="15.75" customHeight="1">
      <c r="A106" s="82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4"/>
      <c r="AM106" s="84"/>
      <c r="AN106" s="84"/>
      <c r="AO106" s="82"/>
      <c r="AP106" s="82"/>
      <c r="AQ106" s="82"/>
      <c r="AR106" s="84"/>
      <c r="AS106" s="82"/>
      <c r="AT106" s="82"/>
      <c r="AU106" s="82"/>
    </row>
    <row r="107" spans="1:47" ht="15.75" customHeight="1">
      <c r="A107" s="82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4"/>
      <c r="AM107" s="84"/>
      <c r="AN107" s="84"/>
      <c r="AO107" s="82"/>
      <c r="AP107" s="82"/>
      <c r="AQ107" s="82"/>
      <c r="AR107" s="84"/>
      <c r="AS107" s="82"/>
      <c r="AT107" s="82"/>
      <c r="AU107" s="82"/>
    </row>
    <row r="108" spans="1:47" ht="15.75" customHeight="1">
      <c r="A108" s="82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4"/>
      <c r="AM108" s="84"/>
      <c r="AN108" s="84"/>
      <c r="AO108" s="82"/>
      <c r="AP108" s="82"/>
      <c r="AQ108" s="82"/>
      <c r="AR108" s="84"/>
      <c r="AS108" s="82"/>
      <c r="AT108" s="82"/>
      <c r="AU108" s="82"/>
    </row>
    <row r="109" spans="1:47" ht="15.75" customHeight="1">
      <c r="A109" s="82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4"/>
      <c r="AM109" s="84"/>
      <c r="AN109" s="84"/>
      <c r="AO109" s="82"/>
      <c r="AP109" s="82"/>
      <c r="AQ109" s="82"/>
      <c r="AR109" s="84"/>
      <c r="AS109" s="82"/>
      <c r="AT109" s="82"/>
      <c r="AU109" s="82"/>
    </row>
    <row r="110" spans="1:47" ht="15.75" customHeight="1">
      <c r="A110" s="82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4"/>
      <c r="AM110" s="84"/>
      <c r="AN110" s="84"/>
      <c r="AO110" s="82"/>
      <c r="AP110" s="82"/>
      <c r="AQ110" s="82"/>
      <c r="AR110" s="84"/>
      <c r="AS110" s="82"/>
      <c r="AT110" s="82"/>
      <c r="AU110" s="82"/>
    </row>
    <row r="111" spans="1:47" ht="15.75" customHeight="1">
      <c r="A111" s="82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4"/>
      <c r="AM111" s="84"/>
      <c r="AN111" s="84"/>
      <c r="AO111" s="82"/>
      <c r="AP111" s="82"/>
      <c r="AQ111" s="82"/>
      <c r="AR111" s="84"/>
      <c r="AS111" s="82"/>
      <c r="AT111" s="82"/>
      <c r="AU111" s="82"/>
    </row>
    <row r="112" spans="1:47" ht="15.75" customHeight="1">
      <c r="A112" s="82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4"/>
      <c r="AM112" s="84"/>
      <c r="AN112" s="84"/>
      <c r="AO112" s="82"/>
      <c r="AP112" s="82"/>
      <c r="AQ112" s="82"/>
      <c r="AR112" s="84"/>
      <c r="AS112" s="82"/>
      <c r="AT112" s="82"/>
      <c r="AU112" s="82"/>
    </row>
    <row r="113" spans="1:47" ht="15.75" customHeight="1">
      <c r="A113" s="82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4"/>
      <c r="AM113" s="84"/>
      <c r="AN113" s="84"/>
      <c r="AO113" s="82"/>
      <c r="AP113" s="82"/>
      <c r="AQ113" s="82"/>
      <c r="AR113" s="84"/>
      <c r="AS113" s="82"/>
      <c r="AT113" s="82"/>
      <c r="AU113" s="82"/>
    </row>
    <row r="114" spans="1:47" ht="15.75" customHeight="1">
      <c r="A114" s="82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4"/>
      <c r="AM114" s="84"/>
      <c r="AN114" s="84"/>
      <c r="AO114" s="82"/>
      <c r="AP114" s="82"/>
      <c r="AQ114" s="82"/>
      <c r="AR114" s="84"/>
      <c r="AS114" s="82"/>
      <c r="AT114" s="82"/>
      <c r="AU114" s="82"/>
    </row>
    <row r="115" spans="1:47" ht="15.75" customHeight="1">
      <c r="A115" s="82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4"/>
      <c r="AM115" s="84"/>
      <c r="AN115" s="84"/>
      <c r="AO115" s="82"/>
      <c r="AP115" s="82"/>
      <c r="AQ115" s="82"/>
      <c r="AR115" s="84"/>
      <c r="AS115" s="82"/>
      <c r="AT115" s="82"/>
      <c r="AU115" s="82"/>
    </row>
    <row r="116" spans="1:47" ht="15.75" customHeight="1">
      <c r="A116" s="82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4"/>
      <c r="AM116" s="84"/>
      <c r="AN116" s="84"/>
      <c r="AO116" s="82"/>
      <c r="AP116" s="82"/>
      <c r="AQ116" s="82"/>
      <c r="AR116" s="84"/>
      <c r="AS116" s="82"/>
      <c r="AT116" s="82"/>
      <c r="AU116" s="82"/>
    </row>
    <row r="117" spans="1:47" ht="15.75" customHeight="1">
      <c r="A117" s="82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4"/>
      <c r="AM117" s="84"/>
      <c r="AN117" s="84"/>
      <c r="AO117" s="82"/>
      <c r="AP117" s="82"/>
      <c r="AQ117" s="82"/>
      <c r="AR117" s="84"/>
      <c r="AS117" s="82"/>
      <c r="AT117" s="82"/>
      <c r="AU117" s="82"/>
    </row>
    <row r="118" spans="1:47" ht="15.75" customHeight="1">
      <c r="A118" s="82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4"/>
      <c r="AM118" s="84"/>
      <c r="AN118" s="84"/>
      <c r="AO118" s="82"/>
      <c r="AP118" s="82"/>
      <c r="AQ118" s="82"/>
      <c r="AR118" s="84"/>
      <c r="AS118" s="82"/>
      <c r="AT118" s="82"/>
      <c r="AU118" s="82"/>
    </row>
    <row r="119" spans="1:47" ht="15.75" customHeight="1">
      <c r="A119" s="82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4"/>
      <c r="AM119" s="84"/>
      <c r="AN119" s="84"/>
      <c r="AO119" s="82"/>
      <c r="AP119" s="82"/>
      <c r="AQ119" s="82"/>
      <c r="AR119" s="84"/>
      <c r="AS119" s="82"/>
      <c r="AT119" s="82"/>
      <c r="AU119" s="82"/>
    </row>
    <row r="120" spans="1:47" ht="15.75" customHeight="1">
      <c r="A120" s="82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4"/>
      <c r="AM120" s="84"/>
      <c r="AN120" s="84"/>
      <c r="AO120" s="82"/>
      <c r="AP120" s="82"/>
      <c r="AQ120" s="82"/>
      <c r="AR120" s="84"/>
      <c r="AS120" s="82"/>
      <c r="AT120" s="82"/>
      <c r="AU120" s="82"/>
    </row>
    <row r="121" spans="1:47" ht="15.75" customHeight="1">
      <c r="A121" s="82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4"/>
      <c r="AM121" s="84"/>
      <c r="AN121" s="84"/>
      <c r="AO121" s="82"/>
      <c r="AP121" s="82"/>
      <c r="AQ121" s="82"/>
      <c r="AR121" s="84"/>
      <c r="AS121" s="82"/>
      <c r="AT121" s="82"/>
      <c r="AU121" s="82"/>
    </row>
    <row r="122" spans="1:47" ht="15.75" customHeight="1">
      <c r="A122" s="82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4"/>
      <c r="AM122" s="84"/>
      <c r="AN122" s="84"/>
      <c r="AO122" s="82"/>
      <c r="AP122" s="82"/>
      <c r="AQ122" s="82"/>
      <c r="AR122" s="84"/>
      <c r="AS122" s="82"/>
      <c r="AT122" s="82"/>
      <c r="AU122" s="82"/>
    </row>
    <row r="123" spans="1:47" ht="15.75" customHeight="1">
      <c r="A123" s="82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4"/>
      <c r="AM123" s="84"/>
      <c r="AN123" s="84"/>
      <c r="AO123" s="82"/>
      <c r="AP123" s="82"/>
      <c r="AQ123" s="82"/>
      <c r="AR123" s="84"/>
      <c r="AS123" s="82"/>
      <c r="AT123" s="82"/>
      <c r="AU123" s="82"/>
    </row>
    <row r="124" spans="1:47" ht="15.75" customHeight="1">
      <c r="A124" s="82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4"/>
      <c r="AM124" s="84"/>
      <c r="AN124" s="84"/>
      <c r="AO124" s="82"/>
      <c r="AP124" s="82"/>
      <c r="AQ124" s="82"/>
      <c r="AR124" s="84"/>
      <c r="AS124" s="82"/>
      <c r="AT124" s="82"/>
      <c r="AU124" s="82"/>
    </row>
    <row r="125" spans="1:47" ht="15.75" customHeight="1">
      <c r="A125" s="82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4"/>
      <c r="AM125" s="84"/>
      <c r="AN125" s="84"/>
      <c r="AO125" s="82"/>
      <c r="AP125" s="82"/>
      <c r="AQ125" s="82"/>
      <c r="AR125" s="84"/>
      <c r="AS125" s="82"/>
      <c r="AT125" s="82"/>
      <c r="AU125" s="82"/>
    </row>
    <row r="126" spans="1:47" ht="15.75" customHeight="1">
      <c r="A126" s="82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4"/>
      <c r="AM126" s="84"/>
      <c r="AN126" s="84"/>
      <c r="AO126" s="82"/>
      <c r="AP126" s="82"/>
      <c r="AQ126" s="82"/>
      <c r="AR126" s="84"/>
      <c r="AS126" s="82"/>
      <c r="AT126" s="82"/>
      <c r="AU126" s="82"/>
    </row>
    <row r="127" spans="1:47" ht="15.75" customHeight="1">
      <c r="A127" s="82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4"/>
      <c r="AM127" s="84"/>
      <c r="AN127" s="84"/>
      <c r="AO127" s="82"/>
      <c r="AP127" s="82"/>
      <c r="AQ127" s="82"/>
      <c r="AR127" s="84"/>
      <c r="AS127" s="82"/>
      <c r="AT127" s="82"/>
      <c r="AU127" s="82"/>
    </row>
    <row r="128" spans="1:47" ht="15.75" customHeight="1">
      <c r="A128" s="82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4"/>
      <c r="AM128" s="84"/>
      <c r="AN128" s="84"/>
      <c r="AO128" s="82"/>
      <c r="AP128" s="82"/>
      <c r="AQ128" s="82"/>
      <c r="AR128" s="84"/>
      <c r="AS128" s="82"/>
      <c r="AT128" s="82"/>
      <c r="AU128" s="82"/>
    </row>
    <row r="129" spans="1:47" ht="15.75" customHeight="1">
      <c r="A129" s="82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4"/>
      <c r="AM129" s="84"/>
      <c r="AN129" s="84"/>
      <c r="AO129" s="82"/>
      <c r="AP129" s="82"/>
      <c r="AQ129" s="82"/>
      <c r="AR129" s="84"/>
      <c r="AS129" s="82"/>
      <c r="AT129" s="82"/>
      <c r="AU129" s="82"/>
    </row>
    <row r="130" spans="1:47" ht="15.75" customHeight="1">
      <c r="A130" s="82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4"/>
      <c r="AM130" s="84"/>
      <c r="AN130" s="84"/>
      <c r="AO130" s="82"/>
      <c r="AP130" s="82"/>
      <c r="AQ130" s="82"/>
      <c r="AR130" s="84"/>
      <c r="AS130" s="82"/>
      <c r="AT130" s="82"/>
      <c r="AU130" s="82"/>
    </row>
    <row r="131" spans="1:47" ht="15.75" customHeight="1">
      <c r="A131" s="82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4"/>
      <c r="AM131" s="84"/>
      <c r="AN131" s="84"/>
      <c r="AO131" s="82"/>
      <c r="AP131" s="82"/>
      <c r="AQ131" s="82"/>
      <c r="AR131" s="84"/>
      <c r="AS131" s="82"/>
      <c r="AT131" s="82"/>
      <c r="AU131" s="82"/>
    </row>
    <row r="132" spans="1:47" ht="15.75" customHeight="1">
      <c r="A132" s="82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4"/>
      <c r="AM132" s="84"/>
      <c r="AN132" s="84"/>
      <c r="AO132" s="82"/>
      <c r="AP132" s="82"/>
      <c r="AQ132" s="82"/>
      <c r="AR132" s="84"/>
      <c r="AS132" s="82"/>
      <c r="AT132" s="82"/>
      <c r="AU132" s="82"/>
    </row>
    <row r="133" spans="1:47" ht="15.75" customHeight="1">
      <c r="A133" s="82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4"/>
      <c r="AM133" s="84"/>
      <c r="AN133" s="84"/>
      <c r="AO133" s="82"/>
      <c r="AP133" s="82"/>
      <c r="AQ133" s="82"/>
      <c r="AR133" s="84"/>
      <c r="AS133" s="82"/>
      <c r="AT133" s="82"/>
      <c r="AU133" s="82"/>
    </row>
    <row r="134" spans="1:47" ht="15.75" customHeight="1">
      <c r="A134" s="82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4"/>
      <c r="AM134" s="84"/>
      <c r="AN134" s="84"/>
      <c r="AO134" s="82"/>
      <c r="AP134" s="82"/>
      <c r="AQ134" s="82"/>
      <c r="AR134" s="84"/>
      <c r="AS134" s="82"/>
      <c r="AT134" s="82"/>
      <c r="AU134" s="82"/>
    </row>
    <row r="135" spans="1:47" ht="15.75" customHeight="1">
      <c r="A135" s="82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4"/>
      <c r="AM135" s="84"/>
      <c r="AN135" s="84"/>
      <c r="AO135" s="82"/>
      <c r="AP135" s="82"/>
      <c r="AQ135" s="82"/>
      <c r="AR135" s="84"/>
      <c r="AS135" s="82"/>
      <c r="AT135" s="82"/>
      <c r="AU135" s="82"/>
    </row>
    <row r="136" spans="1:47" ht="15.75" customHeight="1">
      <c r="A136" s="82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4"/>
      <c r="AM136" s="84"/>
      <c r="AN136" s="84"/>
      <c r="AO136" s="82"/>
      <c r="AP136" s="82"/>
      <c r="AQ136" s="82"/>
      <c r="AR136" s="84"/>
      <c r="AS136" s="82"/>
      <c r="AT136" s="82"/>
      <c r="AU136" s="82"/>
    </row>
    <row r="137" spans="1:47" ht="15.75" customHeight="1">
      <c r="A137" s="82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4"/>
      <c r="AM137" s="84"/>
      <c r="AN137" s="84"/>
      <c r="AO137" s="82"/>
      <c r="AP137" s="82"/>
      <c r="AQ137" s="82"/>
      <c r="AR137" s="84"/>
      <c r="AS137" s="82"/>
      <c r="AT137" s="82"/>
      <c r="AU137" s="82"/>
    </row>
    <row r="138" spans="1:47" ht="15.75" customHeight="1">
      <c r="A138" s="82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4"/>
      <c r="AM138" s="84"/>
      <c r="AN138" s="84"/>
      <c r="AO138" s="82"/>
      <c r="AP138" s="82"/>
      <c r="AQ138" s="82"/>
      <c r="AR138" s="84"/>
      <c r="AS138" s="82"/>
      <c r="AT138" s="82"/>
      <c r="AU138" s="82"/>
    </row>
    <row r="139" spans="1:47" ht="15.75" customHeight="1">
      <c r="A139" s="82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4"/>
      <c r="AM139" s="84"/>
      <c r="AN139" s="84"/>
      <c r="AO139" s="82"/>
      <c r="AP139" s="82"/>
      <c r="AQ139" s="82"/>
      <c r="AR139" s="84"/>
      <c r="AS139" s="82"/>
      <c r="AT139" s="82"/>
      <c r="AU139" s="82"/>
    </row>
    <row r="140" spans="1:47" ht="15.75" customHeight="1">
      <c r="A140" s="82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4"/>
      <c r="AM140" s="84"/>
      <c r="AN140" s="84"/>
      <c r="AO140" s="82"/>
      <c r="AP140" s="82"/>
      <c r="AQ140" s="82"/>
      <c r="AR140" s="84"/>
      <c r="AS140" s="82"/>
      <c r="AT140" s="82"/>
      <c r="AU140" s="82"/>
    </row>
    <row r="141" spans="1:47" ht="15.75" customHeight="1">
      <c r="A141" s="82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4"/>
      <c r="AM141" s="84"/>
      <c r="AN141" s="84"/>
      <c r="AO141" s="82"/>
      <c r="AP141" s="82"/>
      <c r="AQ141" s="82"/>
      <c r="AR141" s="84"/>
      <c r="AS141" s="82"/>
      <c r="AT141" s="82"/>
      <c r="AU141" s="82"/>
    </row>
    <row r="142" spans="1:47" ht="15.75" customHeight="1">
      <c r="A142" s="82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4"/>
      <c r="AM142" s="84"/>
      <c r="AN142" s="84"/>
      <c r="AO142" s="82"/>
      <c r="AP142" s="82"/>
      <c r="AQ142" s="82"/>
      <c r="AR142" s="84"/>
      <c r="AS142" s="82"/>
      <c r="AT142" s="82"/>
      <c r="AU142" s="82"/>
    </row>
    <row r="143" spans="1:47" ht="15.75" customHeight="1">
      <c r="A143" s="82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4"/>
      <c r="AM143" s="84"/>
      <c r="AN143" s="84"/>
      <c r="AO143" s="82"/>
      <c r="AP143" s="82"/>
      <c r="AQ143" s="82"/>
      <c r="AR143" s="84"/>
      <c r="AS143" s="82"/>
      <c r="AT143" s="82"/>
      <c r="AU143" s="82"/>
    </row>
    <row r="144" spans="1:47" ht="15.75" customHeight="1">
      <c r="A144" s="82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4"/>
      <c r="AM144" s="84"/>
      <c r="AN144" s="84"/>
      <c r="AO144" s="82"/>
      <c r="AP144" s="82"/>
      <c r="AQ144" s="82"/>
      <c r="AR144" s="84"/>
      <c r="AS144" s="82"/>
      <c r="AT144" s="82"/>
      <c r="AU144" s="82"/>
    </row>
    <row r="145" spans="1:47" ht="15.75" customHeight="1">
      <c r="A145" s="82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4"/>
      <c r="AM145" s="84"/>
      <c r="AN145" s="84"/>
      <c r="AO145" s="82"/>
      <c r="AP145" s="82"/>
      <c r="AQ145" s="82"/>
      <c r="AR145" s="84"/>
      <c r="AS145" s="82"/>
      <c r="AT145" s="82"/>
      <c r="AU145" s="82"/>
    </row>
    <row r="146" spans="1:47" ht="15.75" customHeight="1">
      <c r="A146" s="82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4"/>
      <c r="AM146" s="84"/>
      <c r="AN146" s="84"/>
      <c r="AO146" s="82"/>
      <c r="AP146" s="82"/>
      <c r="AQ146" s="82"/>
      <c r="AR146" s="84"/>
      <c r="AS146" s="82"/>
      <c r="AT146" s="82"/>
      <c r="AU146" s="82"/>
    </row>
    <row r="147" spans="1:47" ht="15.75" customHeight="1">
      <c r="A147" s="82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4"/>
      <c r="AM147" s="84"/>
      <c r="AN147" s="84"/>
      <c r="AO147" s="82"/>
      <c r="AP147" s="82"/>
      <c r="AQ147" s="82"/>
      <c r="AR147" s="84"/>
      <c r="AS147" s="82"/>
      <c r="AT147" s="82"/>
      <c r="AU147" s="82"/>
    </row>
    <row r="148" spans="1:47" ht="15.75" customHeight="1">
      <c r="A148" s="82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4"/>
      <c r="AM148" s="84"/>
      <c r="AN148" s="84"/>
      <c r="AO148" s="82"/>
      <c r="AP148" s="82"/>
      <c r="AQ148" s="82"/>
      <c r="AR148" s="84"/>
      <c r="AS148" s="82"/>
      <c r="AT148" s="82"/>
      <c r="AU148" s="82"/>
    </row>
    <row r="149" spans="1:47" ht="15.75" customHeight="1">
      <c r="A149" s="82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4"/>
      <c r="AM149" s="84"/>
      <c r="AN149" s="84"/>
      <c r="AO149" s="82"/>
      <c r="AP149" s="82"/>
      <c r="AQ149" s="82"/>
      <c r="AR149" s="84"/>
      <c r="AS149" s="82"/>
      <c r="AT149" s="82"/>
      <c r="AU149" s="82"/>
    </row>
    <row r="150" spans="1:47" ht="15.75" customHeight="1">
      <c r="A150" s="82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4"/>
      <c r="AM150" s="84"/>
      <c r="AN150" s="84"/>
      <c r="AO150" s="82"/>
      <c r="AP150" s="82"/>
      <c r="AQ150" s="82"/>
      <c r="AR150" s="84"/>
      <c r="AS150" s="82"/>
      <c r="AT150" s="82"/>
      <c r="AU150" s="82"/>
    </row>
    <row r="151" spans="1:47" ht="15.75" customHeight="1">
      <c r="A151" s="82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4"/>
      <c r="AM151" s="84"/>
      <c r="AN151" s="84"/>
      <c r="AO151" s="82"/>
      <c r="AP151" s="82"/>
      <c r="AQ151" s="82"/>
      <c r="AR151" s="84"/>
      <c r="AS151" s="82"/>
      <c r="AT151" s="82"/>
      <c r="AU151" s="82"/>
    </row>
    <row r="152" spans="1:47" ht="15.75" customHeight="1">
      <c r="A152" s="82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4"/>
      <c r="AM152" s="84"/>
      <c r="AN152" s="84"/>
      <c r="AO152" s="82"/>
      <c r="AP152" s="82"/>
      <c r="AQ152" s="82"/>
      <c r="AR152" s="84"/>
      <c r="AS152" s="82"/>
      <c r="AT152" s="82"/>
      <c r="AU152" s="82"/>
    </row>
    <row r="153" spans="1:47" ht="15.75" customHeight="1">
      <c r="A153" s="82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4"/>
      <c r="AM153" s="84"/>
      <c r="AN153" s="84"/>
      <c r="AO153" s="82"/>
      <c r="AP153" s="82"/>
      <c r="AQ153" s="82"/>
      <c r="AR153" s="84"/>
      <c r="AS153" s="82"/>
      <c r="AT153" s="82"/>
      <c r="AU153" s="82"/>
    </row>
    <row r="154" spans="1:47" ht="15.75" customHeight="1">
      <c r="A154" s="82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4"/>
      <c r="AM154" s="84"/>
      <c r="AN154" s="84"/>
      <c r="AO154" s="82"/>
      <c r="AP154" s="82"/>
      <c r="AQ154" s="82"/>
      <c r="AR154" s="84"/>
      <c r="AS154" s="82"/>
      <c r="AT154" s="82"/>
      <c r="AU154" s="82"/>
    </row>
    <row r="155" spans="1:47" ht="15.75" customHeight="1">
      <c r="A155" s="82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4"/>
      <c r="AM155" s="84"/>
      <c r="AN155" s="84"/>
      <c r="AO155" s="82"/>
      <c r="AP155" s="82"/>
      <c r="AQ155" s="82"/>
      <c r="AR155" s="84"/>
      <c r="AS155" s="82"/>
      <c r="AT155" s="82"/>
      <c r="AU155" s="82"/>
    </row>
    <row r="156" spans="1:47" ht="15.75" customHeight="1">
      <c r="A156" s="82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4"/>
      <c r="AM156" s="84"/>
      <c r="AN156" s="84"/>
      <c r="AO156" s="82"/>
      <c r="AP156" s="82"/>
      <c r="AQ156" s="82"/>
      <c r="AR156" s="84"/>
      <c r="AS156" s="82"/>
      <c r="AT156" s="82"/>
      <c r="AU156" s="82"/>
    </row>
    <row r="157" spans="1:47" ht="15.75" customHeight="1">
      <c r="A157" s="82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4"/>
      <c r="AM157" s="84"/>
      <c r="AN157" s="84"/>
      <c r="AO157" s="82"/>
      <c r="AP157" s="82"/>
      <c r="AQ157" s="82"/>
      <c r="AR157" s="84"/>
      <c r="AS157" s="82"/>
      <c r="AT157" s="82"/>
      <c r="AU157" s="82"/>
    </row>
    <row r="158" spans="1:47" ht="15.75" customHeight="1">
      <c r="A158" s="82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4"/>
      <c r="AM158" s="84"/>
      <c r="AN158" s="84"/>
      <c r="AO158" s="82"/>
      <c r="AP158" s="82"/>
      <c r="AQ158" s="82"/>
      <c r="AR158" s="84"/>
      <c r="AS158" s="82"/>
      <c r="AT158" s="82"/>
      <c r="AU158" s="82"/>
    </row>
    <row r="159" spans="1:47" ht="15.75" customHeight="1">
      <c r="A159" s="82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4"/>
      <c r="AM159" s="84"/>
      <c r="AN159" s="84"/>
      <c r="AO159" s="82"/>
      <c r="AP159" s="82"/>
      <c r="AQ159" s="82"/>
      <c r="AR159" s="84"/>
      <c r="AS159" s="82"/>
      <c r="AT159" s="82"/>
      <c r="AU159" s="82"/>
    </row>
    <row r="160" spans="1:47" ht="15.75" customHeight="1">
      <c r="A160" s="82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4"/>
      <c r="AM160" s="84"/>
      <c r="AN160" s="84"/>
      <c r="AO160" s="82"/>
      <c r="AP160" s="82"/>
      <c r="AQ160" s="82"/>
      <c r="AR160" s="84"/>
      <c r="AS160" s="82"/>
      <c r="AT160" s="82"/>
      <c r="AU160" s="82"/>
    </row>
    <row r="161" spans="1:47" ht="15.75" customHeight="1">
      <c r="A161" s="82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4"/>
      <c r="AM161" s="84"/>
      <c r="AN161" s="84"/>
      <c r="AO161" s="82"/>
      <c r="AP161" s="82"/>
      <c r="AQ161" s="82"/>
      <c r="AR161" s="84"/>
      <c r="AS161" s="82"/>
      <c r="AT161" s="82"/>
      <c r="AU161" s="82"/>
    </row>
    <row r="162" spans="1:47" ht="15.75" customHeight="1">
      <c r="A162" s="82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4"/>
      <c r="AM162" s="84"/>
      <c r="AN162" s="84"/>
      <c r="AO162" s="82"/>
      <c r="AP162" s="82"/>
      <c r="AQ162" s="82"/>
      <c r="AR162" s="84"/>
      <c r="AS162" s="82"/>
      <c r="AT162" s="82"/>
      <c r="AU162" s="82"/>
    </row>
    <row r="163" spans="1:47" ht="15.75" customHeight="1">
      <c r="A163" s="82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4"/>
      <c r="AM163" s="84"/>
      <c r="AN163" s="84"/>
      <c r="AO163" s="82"/>
      <c r="AP163" s="82"/>
      <c r="AQ163" s="82"/>
      <c r="AR163" s="84"/>
      <c r="AS163" s="82"/>
      <c r="AT163" s="82"/>
      <c r="AU163" s="82"/>
    </row>
    <row r="164" spans="1:47" ht="15.75" customHeight="1">
      <c r="A164" s="82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4"/>
      <c r="AM164" s="84"/>
      <c r="AN164" s="84"/>
      <c r="AO164" s="82"/>
      <c r="AP164" s="82"/>
      <c r="AQ164" s="82"/>
      <c r="AR164" s="84"/>
      <c r="AS164" s="82"/>
      <c r="AT164" s="82"/>
      <c r="AU164" s="82"/>
    </row>
    <row r="165" spans="1:47" ht="15.75" customHeight="1">
      <c r="A165" s="82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4"/>
      <c r="AM165" s="84"/>
      <c r="AN165" s="84"/>
      <c r="AO165" s="82"/>
      <c r="AP165" s="82"/>
      <c r="AQ165" s="82"/>
      <c r="AR165" s="84"/>
      <c r="AS165" s="82"/>
      <c r="AT165" s="82"/>
      <c r="AU165" s="82"/>
    </row>
    <row r="166" spans="1:47" ht="15.75" customHeight="1">
      <c r="A166" s="82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4"/>
      <c r="AM166" s="84"/>
      <c r="AN166" s="84"/>
      <c r="AO166" s="82"/>
      <c r="AP166" s="82"/>
      <c r="AQ166" s="82"/>
      <c r="AR166" s="84"/>
      <c r="AS166" s="82"/>
      <c r="AT166" s="82"/>
      <c r="AU166" s="82"/>
    </row>
    <row r="167" spans="1:47" ht="15.75" customHeight="1">
      <c r="A167" s="82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4"/>
      <c r="AM167" s="84"/>
      <c r="AN167" s="84"/>
      <c r="AO167" s="82"/>
      <c r="AP167" s="82"/>
      <c r="AQ167" s="82"/>
      <c r="AR167" s="84"/>
      <c r="AS167" s="82"/>
      <c r="AT167" s="82"/>
      <c r="AU167" s="82"/>
    </row>
    <row r="168" spans="1:47" ht="15.75" customHeight="1">
      <c r="A168" s="82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4"/>
      <c r="AM168" s="84"/>
      <c r="AN168" s="84"/>
      <c r="AO168" s="82"/>
      <c r="AP168" s="82"/>
      <c r="AQ168" s="82"/>
      <c r="AR168" s="84"/>
      <c r="AS168" s="82"/>
      <c r="AT168" s="82"/>
      <c r="AU168" s="82"/>
    </row>
    <row r="169" spans="1:47" ht="15.75" customHeight="1">
      <c r="A169" s="82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4"/>
      <c r="AM169" s="84"/>
      <c r="AN169" s="84"/>
      <c r="AO169" s="82"/>
      <c r="AP169" s="82"/>
      <c r="AQ169" s="82"/>
      <c r="AR169" s="84"/>
      <c r="AS169" s="82"/>
      <c r="AT169" s="82"/>
      <c r="AU169" s="82"/>
    </row>
    <row r="170" spans="1:47" ht="15.75" customHeight="1">
      <c r="A170" s="82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4"/>
      <c r="AM170" s="84"/>
      <c r="AN170" s="84"/>
      <c r="AO170" s="82"/>
      <c r="AP170" s="82"/>
      <c r="AQ170" s="82"/>
      <c r="AR170" s="84"/>
      <c r="AS170" s="82"/>
      <c r="AT170" s="82"/>
      <c r="AU170" s="82"/>
    </row>
    <row r="171" spans="1:47" ht="15.75" customHeight="1">
      <c r="A171" s="82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4"/>
      <c r="AM171" s="84"/>
      <c r="AN171" s="84"/>
      <c r="AO171" s="82"/>
      <c r="AP171" s="82"/>
      <c r="AQ171" s="82"/>
      <c r="AR171" s="84"/>
      <c r="AS171" s="82"/>
      <c r="AT171" s="82"/>
      <c r="AU171" s="82"/>
    </row>
    <row r="172" spans="1:47" ht="15.75" customHeight="1">
      <c r="A172" s="82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4"/>
      <c r="AM172" s="84"/>
      <c r="AN172" s="84"/>
      <c r="AO172" s="82"/>
      <c r="AP172" s="82"/>
      <c r="AQ172" s="82"/>
      <c r="AR172" s="84"/>
      <c r="AS172" s="82"/>
      <c r="AT172" s="82"/>
      <c r="AU172" s="82"/>
    </row>
    <row r="173" spans="1:47" ht="15.75" customHeight="1">
      <c r="A173" s="82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4"/>
      <c r="AM173" s="84"/>
      <c r="AN173" s="84"/>
      <c r="AO173" s="82"/>
      <c r="AP173" s="82"/>
      <c r="AQ173" s="82"/>
      <c r="AR173" s="84"/>
      <c r="AS173" s="82"/>
      <c r="AT173" s="82"/>
      <c r="AU173" s="82"/>
    </row>
    <row r="174" spans="1:47" ht="15.75" customHeight="1">
      <c r="A174" s="82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4"/>
      <c r="AM174" s="84"/>
      <c r="AN174" s="84"/>
      <c r="AO174" s="82"/>
      <c r="AP174" s="82"/>
      <c r="AQ174" s="82"/>
      <c r="AR174" s="84"/>
      <c r="AS174" s="82"/>
      <c r="AT174" s="82"/>
      <c r="AU174" s="82"/>
    </row>
    <row r="175" spans="1:47" ht="15.75" customHeight="1">
      <c r="A175" s="82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4"/>
      <c r="AM175" s="84"/>
      <c r="AN175" s="84"/>
      <c r="AO175" s="82"/>
      <c r="AP175" s="82"/>
      <c r="AQ175" s="82"/>
      <c r="AR175" s="84"/>
      <c r="AS175" s="82"/>
      <c r="AT175" s="82"/>
      <c r="AU175" s="82"/>
    </row>
    <row r="176" spans="1:47" ht="15.75" customHeight="1">
      <c r="A176" s="82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4"/>
      <c r="AM176" s="84"/>
      <c r="AN176" s="84"/>
      <c r="AO176" s="82"/>
      <c r="AP176" s="82"/>
      <c r="AQ176" s="82"/>
      <c r="AR176" s="84"/>
      <c r="AS176" s="82"/>
      <c r="AT176" s="82"/>
      <c r="AU176" s="82"/>
    </row>
    <row r="177" spans="1:47" ht="15.75" customHeight="1">
      <c r="A177" s="82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4"/>
      <c r="AM177" s="84"/>
      <c r="AN177" s="84"/>
      <c r="AO177" s="82"/>
      <c r="AP177" s="82"/>
      <c r="AQ177" s="82"/>
      <c r="AR177" s="84"/>
      <c r="AS177" s="82"/>
      <c r="AT177" s="82"/>
      <c r="AU177" s="82"/>
    </row>
    <row r="178" spans="1:47" ht="15.75" customHeight="1">
      <c r="A178" s="82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4"/>
      <c r="AM178" s="84"/>
      <c r="AN178" s="84"/>
      <c r="AO178" s="82"/>
      <c r="AP178" s="82"/>
      <c r="AQ178" s="82"/>
      <c r="AR178" s="84"/>
      <c r="AS178" s="82"/>
      <c r="AT178" s="82"/>
      <c r="AU178" s="82"/>
    </row>
    <row r="179" spans="1:47" ht="15.75" customHeight="1">
      <c r="A179" s="82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4"/>
      <c r="AM179" s="84"/>
      <c r="AN179" s="84"/>
      <c r="AO179" s="82"/>
      <c r="AP179" s="82"/>
      <c r="AQ179" s="82"/>
      <c r="AR179" s="84"/>
      <c r="AS179" s="82"/>
      <c r="AT179" s="82"/>
      <c r="AU179" s="82"/>
    </row>
    <row r="180" spans="1:47" ht="15.75" customHeight="1">
      <c r="A180" s="82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4"/>
      <c r="AM180" s="84"/>
      <c r="AN180" s="84"/>
      <c r="AO180" s="82"/>
      <c r="AP180" s="82"/>
      <c r="AQ180" s="82"/>
      <c r="AR180" s="84"/>
      <c r="AS180" s="82"/>
      <c r="AT180" s="82"/>
      <c r="AU180" s="82"/>
    </row>
    <row r="181" spans="1:47" ht="15.75" customHeight="1">
      <c r="A181" s="82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4"/>
      <c r="AM181" s="84"/>
      <c r="AN181" s="84"/>
      <c r="AO181" s="82"/>
      <c r="AP181" s="82"/>
      <c r="AQ181" s="82"/>
      <c r="AR181" s="84"/>
      <c r="AS181" s="82"/>
      <c r="AT181" s="82"/>
      <c r="AU181" s="82"/>
    </row>
    <row r="182" spans="1:47" ht="15.75" customHeight="1">
      <c r="A182" s="82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4"/>
      <c r="AM182" s="84"/>
      <c r="AN182" s="84"/>
      <c r="AO182" s="82"/>
      <c r="AP182" s="82"/>
      <c r="AQ182" s="82"/>
      <c r="AR182" s="84"/>
      <c r="AS182" s="82"/>
      <c r="AT182" s="82"/>
      <c r="AU182" s="82"/>
    </row>
    <row r="183" spans="1:47" ht="15.75" customHeight="1">
      <c r="A183" s="82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4"/>
      <c r="AM183" s="84"/>
      <c r="AN183" s="84"/>
      <c r="AO183" s="82"/>
      <c r="AP183" s="82"/>
      <c r="AQ183" s="82"/>
      <c r="AR183" s="84"/>
      <c r="AS183" s="82"/>
      <c r="AT183" s="82"/>
      <c r="AU183" s="82"/>
    </row>
    <row r="184" spans="1:47" ht="15.75" customHeight="1">
      <c r="A184" s="82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4"/>
      <c r="AM184" s="84"/>
      <c r="AN184" s="84"/>
      <c r="AO184" s="82"/>
      <c r="AP184" s="82"/>
      <c r="AQ184" s="82"/>
      <c r="AR184" s="84"/>
      <c r="AS184" s="82"/>
      <c r="AT184" s="82"/>
      <c r="AU184" s="82"/>
    </row>
    <row r="185" spans="1:47" ht="15.75" customHeight="1">
      <c r="A185" s="82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4"/>
      <c r="AM185" s="84"/>
      <c r="AN185" s="84"/>
      <c r="AO185" s="82"/>
      <c r="AP185" s="82"/>
      <c r="AQ185" s="82"/>
      <c r="AR185" s="84"/>
      <c r="AS185" s="82"/>
      <c r="AT185" s="82"/>
      <c r="AU185" s="82"/>
    </row>
    <row r="186" spans="1:47" ht="15.75" customHeight="1">
      <c r="A186" s="82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4"/>
      <c r="AM186" s="84"/>
      <c r="AN186" s="84"/>
      <c r="AO186" s="82"/>
      <c r="AP186" s="82"/>
      <c r="AQ186" s="82"/>
      <c r="AR186" s="84"/>
      <c r="AS186" s="82"/>
      <c r="AT186" s="82"/>
      <c r="AU186" s="82"/>
    </row>
    <row r="187" spans="1:47" ht="15.75" customHeight="1">
      <c r="A187" s="82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4"/>
      <c r="AM187" s="84"/>
      <c r="AN187" s="84"/>
      <c r="AO187" s="82"/>
      <c r="AP187" s="82"/>
      <c r="AQ187" s="82"/>
      <c r="AR187" s="84"/>
      <c r="AS187" s="82"/>
      <c r="AT187" s="82"/>
      <c r="AU187" s="82"/>
    </row>
    <row r="188" spans="1:47" ht="15.75" customHeight="1">
      <c r="A188" s="82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4"/>
      <c r="AM188" s="84"/>
      <c r="AN188" s="84"/>
      <c r="AO188" s="82"/>
      <c r="AP188" s="82"/>
      <c r="AQ188" s="82"/>
      <c r="AR188" s="84"/>
      <c r="AS188" s="82"/>
      <c r="AT188" s="82"/>
      <c r="AU188" s="82"/>
    </row>
    <row r="189" spans="1:47" ht="15.75" customHeight="1">
      <c r="A189" s="82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4"/>
      <c r="AM189" s="84"/>
      <c r="AN189" s="84"/>
      <c r="AO189" s="82"/>
      <c r="AP189" s="82"/>
      <c r="AQ189" s="82"/>
      <c r="AR189" s="84"/>
      <c r="AS189" s="82"/>
      <c r="AT189" s="82"/>
      <c r="AU189" s="82"/>
    </row>
    <row r="190" spans="1:47" ht="15.75" customHeight="1">
      <c r="A190" s="82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4"/>
      <c r="AM190" s="84"/>
      <c r="AN190" s="84"/>
      <c r="AO190" s="82"/>
      <c r="AP190" s="82"/>
      <c r="AQ190" s="82"/>
      <c r="AR190" s="84"/>
      <c r="AS190" s="82"/>
      <c r="AT190" s="82"/>
      <c r="AU190" s="82"/>
    </row>
    <row r="191" spans="1:47" ht="15.75" customHeight="1">
      <c r="A191" s="82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4"/>
      <c r="AM191" s="84"/>
      <c r="AN191" s="84"/>
      <c r="AO191" s="82"/>
      <c r="AP191" s="82"/>
      <c r="AQ191" s="82"/>
      <c r="AR191" s="84"/>
      <c r="AS191" s="82"/>
      <c r="AT191" s="82"/>
      <c r="AU191" s="82"/>
    </row>
    <row r="192" spans="1:47" ht="15.75" customHeight="1">
      <c r="A192" s="82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4"/>
      <c r="AM192" s="84"/>
      <c r="AN192" s="84"/>
      <c r="AO192" s="82"/>
      <c r="AP192" s="82"/>
      <c r="AQ192" s="82"/>
      <c r="AR192" s="84"/>
      <c r="AS192" s="82"/>
      <c r="AT192" s="82"/>
      <c r="AU192" s="82"/>
    </row>
    <row r="193" spans="1:47" ht="15.75" customHeight="1">
      <c r="A193" s="82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4"/>
      <c r="AM193" s="84"/>
      <c r="AN193" s="84"/>
      <c r="AO193" s="82"/>
      <c r="AP193" s="82"/>
      <c r="AQ193" s="82"/>
      <c r="AR193" s="84"/>
      <c r="AS193" s="82"/>
      <c r="AT193" s="82"/>
      <c r="AU193" s="82"/>
    </row>
    <row r="194" spans="1:47" ht="15.75" customHeight="1">
      <c r="A194" s="82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4"/>
      <c r="AM194" s="84"/>
      <c r="AN194" s="84"/>
      <c r="AO194" s="82"/>
      <c r="AP194" s="82"/>
      <c r="AQ194" s="82"/>
      <c r="AR194" s="84"/>
      <c r="AS194" s="82"/>
      <c r="AT194" s="82"/>
      <c r="AU194" s="82"/>
    </row>
    <row r="195" spans="1:47" ht="15.75" customHeight="1">
      <c r="A195" s="82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4"/>
      <c r="AM195" s="84"/>
      <c r="AN195" s="84"/>
      <c r="AO195" s="82"/>
      <c r="AP195" s="82"/>
      <c r="AQ195" s="82"/>
      <c r="AR195" s="84"/>
      <c r="AS195" s="82"/>
      <c r="AT195" s="82"/>
      <c r="AU195" s="82"/>
    </row>
    <row r="196" spans="1:47" ht="15.75" customHeight="1">
      <c r="A196" s="82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4"/>
      <c r="AM196" s="84"/>
      <c r="AN196" s="84"/>
      <c r="AO196" s="82"/>
      <c r="AP196" s="82"/>
      <c r="AQ196" s="82"/>
      <c r="AR196" s="84"/>
      <c r="AS196" s="82"/>
      <c r="AT196" s="82"/>
      <c r="AU196" s="82"/>
    </row>
    <row r="197" spans="1:47" ht="15.75" customHeight="1">
      <c r="A197" s="82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4"/>
      <c r="AM197" s="84"/>
      <c r="AN197" s="84"/>
      <c r="AO197" s="82"/>
      <c r="AP197" s="82"/>
      <c r="AQ197" s="82"/>
      <c r="AR197" s="84"/>
      <c r="AS197" s="82"/>
      <c r="AT197" s="82"/>
      <c r="AU197" s="82"/>
    </row>
    <row r="198" spans="1:47" ht="15.75" customHeight="1">
      <c r="A198" s="82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4"/>
      <c r="AM198" s="84"/>
      <c r="AN198" s="84"/>
      <c r="AO198" s="82"/>
      <c r="AP198" s="82"/>
      <c r="AQ198" s="82"/>
      <c r="AR198" s="84"/>
      <c r="AS198" s="82"/>
      <c r="AT198" s="82"/>
      <c r="AU198" s="82"/>
    </row>
    <row r="199" spans="1:47" ht="15.75" customHeight="1">
      <c r="A199" s="82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4"/>
      <c r="AM199" s="84"/>
      <c r="AN199" s="84"/>
      <c r="AO199" s="82"/>
      <c r="AP199" s="82"/>
      <c r="AQ199" s="82"/>
      <c r="AR199" s="84"/>
      <c r="AS199" s="82"/>
      <c r="AT199" s="82"/>
      <c r="AU199" s="82"/>
    </row>
    <row r="200" spans="1:47" ht="15.75" customHeight="1">
      <c r="A200" s="82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4"/>
      <c r="AM200" s="84"/>
      <c r="AN200" s="84"/>
      <c r="AO200" s="82"/>
      <c r="AP200" s="82"/>
      <c r="AQ200" s="82"/>
      <c r="AR200" s="84"/>
      <c r="AS200" s="82"/>
      <c r="AT200" s="82"/>
      <c r="AU200" s="82"/>
    </row>
    <row r="201" spans="1:47" ht="15.75" customHeight="1">
      <c r="A201" s="82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4"/>
      <c r="AM201" s="84"/>
      <c r="AN201" s="84"/>
      <c r="AO201" s="82"/>
      <c r="AP201" s="82"/>
      <c r="AQ201" s="82"/>
      <c r="AR201" s="84"/>
      <c r="AS201" s="82"/>
      <c r="AT201" s="82"/>
      <c r="AU201" s="82"/>
    </row>
    <row r="202" spans="1:47" ht="15.75" customHeight="1">
      <c r="A202" s="82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4"/>
      <c r="AM202" s="84"/>
      <c r="AN202" s="84"/>
      <c r="AO202" s="82"/>
      <c r="AP202" s="82"/>
      <c r="AQ202" s="82"/>
      <c r="AR202" s="84"/>
      <c r="AS202" s="82"/>
      <c r="AT202" s="82"/>
      <c r="AU202" s="82"/>
    </row>
    <row r="203" spans="1:47" ht="15.75" customHeight="1">
      <c r="A203" s="82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4"/>
      <c r="AM203" s="84"/>
      <c r="AN203" s="84"/>
      <c r="AO203" s="82"/>
      <c r="AP203" s="82"/>
      <c r="AQ203" s="82"/>
      <c r="AR203" s="84"/>
      <c r="AS203" s="82"/>
      <c r="AT203" s="82"/>
      <c r="AU203" s="82"/>
    </row>
    <row r="204" spans="1:47" ht="15.75" customHeight="1">
      <c r="A204" s="82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4"/>
      <c r="AM204" s="84"/>
      <c r="AN204" s="84"/>
      <c r="AO204" s="82"/>
      <c r="AP204" s="82"/>
      <c r="AQ204" s="82"/>
      <c r="AR204" s="84"/>
      <c r="AS204" s="82"/>
      <c r="AT204" s="82"/>
      <c r="AU204" s="82"/>
    </row>
    <row r="205" spans="1:47" ht="15.75" customHeight="1">
      <c r="A205" s="82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4"/>
      <c r="AM205" s="84"/>
      <c r="AN205" s="84"/>
      <c r="AO205" s="82"/>
      <c r="AP205" s="82"/>
      <c r="AQ205" s="82"/>
      <c r="AR205" s="84"/>
      <c r="AS205" s="82"/>
      <c r="AT205" s="82"/>
      <c r="AU205" s="82"/>
    </row>
    <row r="206" spans="1:47" ht="15.75" customHeight="1">
      <c r="A206" s="82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4"/>
      <c r="AM206" s="84"/>
      <c r="AN206" s="84"/>
      <c r="AO206" s="82"/>
      <c r="AP206" s="82"/>
      <c r="AQ206" s="82"/>
      <c r="AR206" s="84"/>
      <c r="AS206" s="82"/>
      <c r="AT206" s="82"/>
      <c r="AU206" s="82"/>
    </row>
    <row r="207" spans="1:47" ht="15.75" customHeight="1">
      <c r="A207" s="82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4"/>
      <c r="AM207" s="84"/>
      <c r="AN207" s="84"/>
      <c r="AO207" s="82"/>
      <c r="AP207" s="82"/>
      <c r="AQ207" s="82"/>
      <c r="AR207" s="84"/>
      <c r="AS207" s="82"/>
      <c r="AT207" s="82"/>
      <c r="AU207" s="82"/>
    </row>
    <row r="208" spans="1:47" ht="15.75" customHeight="1">
      <c r="A208" s="82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4"/>
      <c r="AM208" s="84"/>
      <c r="AN208" s="84"/>
      <c r="AO208" s="82"/>
      <c r="AP208" s="82"/>
      <c r="AQ208" s="82"/>
      <c r="AR208" s="84"/>
      <c r="AS208" s="82"/>
      <c r="AT208" s="82"/>
      <c r="AU208" s="82"/>
    </row>
    <row r="209" spans="1:47" ht="15.75" customHeight="1">
      <c r="A209" s="82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4"/>
      <c r="AM209" s="84"/>
      <c r="AN209" s="84"/>
      <c r="AO209" s="82"/>
      <c r="AP209" s="82"/>
      <c r="AQ209" s="82"/>
      <c r="AR209" s="84"/>
      <c r="AS209" s="82"/>
      <c r="AT209" s="82"/>
      <c r="AU209" s="82"/>
    </row>
    <row r="210" spans="1:47" ht="15.75" customHeight="1">
      <c r="A210" s="82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4"/>
      <c r="AM210" s="84"/>
      <c r="AN210" s="84"/>
      <c r="AO210" s="82"/>
      <c r="AP210" s="82"/>
      <c r="AQ210" s="82"/>
      <c r="AR210" s="84"/>
      <c r="AS210" s="82"/>
      <c r="AT210" s="82"/>
      <c r="AU210" s="82"/>
    </row>
    <row r="211" spans="1:47" ht="15.75" customHeight="1">
      <c r="A211" s="82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4"/>
      <c r="AM211" s="84"/>
      <c r="AN211" s="84"/>
      <c r="AO211" s="82"/>
      <c r="AP211" s="82"/>
      <c r="AQ211" s="82"/>
      <c r="AR211" s="84"/>
      <c r="AS211" s="82"/>
      <c r="AT211" s="82"/>
      <c r="AU211" s="82"/>
    </row>
    <row r="212" spans="1:47" ht="15.75" customHeight="1">
      <c r="A212" s="82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4"/>
      <c r="AM212" s="84"/>
      <c r="AN212" s="84"/>
      <c r="AO212" s="82"/>
      <c r="AP212" s="82"/>
      <c r="AQ212" s="82"/>
      <c r="AR212" s="84"/>
      <c r="AS212" s="82"/>
      <c r="AT212" s="82"/>
      <c r="AU212" s="82"/>
    </row>
    <row r="213" spans="1:47" ht="15.75" customHeight="1">
      <c r="A213" s="82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4"/>
      <c r="AM213" s="84"/>
      <c r="AN213" s="84"/>
      <c r="AO213" s="82"/>
      <c r="AP213" s="82"/>
      <c r="AQ213" s="82"/>
      <c r="AR213" s="84"/>
      <c r="AS213" s="82"/>
      <c r="AT213" s="82"/>
      <c r="AU213" s="82"/>
    </row>
    <row r="214" spans="1:47" ht="15.75" customHeight="1">
      <c r="A214" s="82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4"/>
      <c r="AM214" s="84"/>
      <c r="AN214" s="84"/>
      <c r="AO214" s="82"/>
      <c r="AP214" s="82"/>
      <c r="AQ214" s="82"/>
      <c r="AR214" s="84"/>
      <c r="AS214" s="82"/>
      <c r="AT214" s="82"/>
      <c r="AU214" s="82"/>
    </row>
    <row r="215" spans="1:47" ht="15.75" customHeight="1">
      <c r="A215" s="82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4"/>
      <c r="AM215" s="84"/>
      <c r="AN215" s="84"/>
      <c r="AO215" s="82"/>
      <c r="AP215" s="82"/>
      <c r="AQ215" s="82"/>
      <c r="AR215" s="84"/>
      <c r="AS215" s="82"/>
      <c r="AT215" s="82"/>
      <c r="AU215" s="82"/>
    </row>
    <row r="216" spans="1:47" ht="15.75" customHeight="1">
      <c r="A216" s="82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4"/>
      <c r="AM216" s="84"/>
      <c r="AN216" s="84"/>
      <c r="AO216" s="82"/>
      <c r="AP216" s="82"/>
      <c r="AQ216" s="82"/>
      <c r="AR216" s="84"/>
      <c r="AS216" s="82"/>
      <c r="AT216" s="82"/>
      <c r="AU216" s="82"/>
    </row>
    <row r="217" spans="1:47" ht="15.75" customHeight="1">
      <c r="A217" s="82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4"/>
      <c r="AM217" s="84"/>
      <c r="AN217" s="84"/>
      <c r="AO217" s="82"/>
      <c r="AP217" s="82"/>
      <c r="AQ217" s="82"/>
      <c r="AR217" s="84"/>
      <c r="AS217" s="82"/>
      <c r="AT217" s="82"/>
      <c r="AU217" s="82"/>
    </row>
    <row r="218" spans="1:47" ht="15.75" customHeight="1">
      <c r="A218" s="82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4"/>
      <c r="AM218" s="84"/>
      <c r="AN218" s="84"/>
      <c r="AO218" s="82"/>
      <c r="AP218" s="82"/>
      <c r="AQ218" s="82"/>
      <c r="AR218" s="84"/>
      <c r="AS218" s="82"/>
      <c r="AT218" s="82"/>
      <c r="AU218" s="82"/>
    </row>
    <row r="219" spans="1:47" ht="15.75" customHeight="1">
      <c r="A219" s="82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4"/>
      <c r="AM219" s="84"/>
      <c r="AN219" s="84"/>
      <c r="AO219" s="82"/>
      <c r="AP219" s="82"/>
      <c r="AQ219" s="82"/>
      <c r="AR219" s="84"/>
      <c r="AS219" s="82"/>
      <c r="AT219" s="82"/>
      <c r="AU219" s="82"/>
    </row>
    <row r="220" spans="1:47" ht="15.75" customHeight="1">
      <c r="A220" s="82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4"/>
      <c r="AM220" s="84"/>
      <c r="AN220" s="84"/>
      <c r="AO220" s="82"/>
      <c r="AP220" s="82"/>
      <c r="AQ220" s="82"/>
      <c r="AR220" s="84"/>
      <c r="AS220" s="82"/>
      <c r="AT220" s="82"/>
      <c r="AU220" s="82"/>
    </row>
    <row r="221" spans="1:47" ht="15.75" customHeight="1">
      <c r="A221" s="82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4"/>
      <c r="AM221" s="84"/>
      <c r="AN221" s="84"/>
      <c r="AO221" s="82"/>
      <c r="AP221" s="82"/>
      <c r="AQ221" s="82"/>
      <c r="AR221" s="84"/>
      <c r="AS221" s="82"/>
      <c r="AT221" s="82"/>
      <c r="AU221" s="82"/>
    </row>
    <row r="222" spans="1:47" ht="15.75" customHeight="1">
      <c r="A222" s="82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4"/>
      <c r="AM222" s="84"/>
      <c r="AN222" s="84"/>
      <c r="AO222" s="82"/>
      <c r="AP222" s="82"/>
      <c r="AQ222" s="82"/>
      <c r="AR222" s="84"/>
      <c r="AS222" s="82"/>
      <c r="AT222" s="82"/>
      <c r="AU222" s="82"/>
    </row>
    <row r="223" spans="1:47" ht="15.75" customHeight="1">
      <c r="A223" s="82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4"/>
      <c r="AM223" s="84"/>
      <c r="AN223" s="84"/>
      <c r="AO223" s="82"/>
      <c r="AP223" s="82"/>
      <c r="AQ223" s="82"/>
      <c r="AR223" s="84"/>
      <c r="AS223" s="82"/>
      <c r="AT223" s="82"/>
      <c r="AU223" s="82"/>
    </row>
    <row r="224" spans="1:47" ht="15.75" customHeight="1">
      <c r="A224" s="82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4"/>
      <c r="AM224" s="84"/>
      <c r="AN224" s="84"/>
      <c r="AO224" s="82"/>
      <c r="AP224" s="82"/>
      <c r="AQ224" s="82"/>
      <c r="AR224" s="84"/>
      <c r="AS224" s="82"/>
      <c r="AT224" s="82"/>
      <c r="AU224" s="82"/>
    </row>
    <row r="225" spans="1:47" ht="15.75" customHeight="1">
      <c r="A225" s="82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4"/>
      <c r="AM225" s="84"/>
      <c r="AN225" s="84"/>
      <c r="AO225" s="82"/>
      <c r="AP225" s="82"/>
      <c r="AQ225" s="82"/>
      <c r="AR225" s="84"/>
      <c r="AS225" s="82"/>
      <c r="AT225" s="82"/>
      <c r="AU225" s="82"/>
    </row>
    <row r="226" spans="1:47" ht="15.75" customHeight="1">
      <c r="A226" s="82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4"/>
      <c r="AM226" s="84"/>
      <c r="AN226" s="84"/>
      <c r="AO226" s="82"/>
      <c r="AP226" s="82"/>
      <c r="AQ226" s="82"/>
      <c r="AR226" s="84"/>
      <c r="AS226" s="82"/>
      <c r="AT226" s="82"/>
      <c r="AU226" s="82"/>
    </row>
    <row r="227" spans="1:47" ht="15.75" customHeight="1">
      <c r="A227" s="82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4"/>
      <c r="AM227" s="84"/>
      <c r="AN227" s="84"/>
      <c r="AO227" s="82"/>
      <c r="AP227" s="82"/>
      <c r="AQ227" s="82"/>
      <c r="AR227" s="84"/>
      <c r="AS227" s="82"/>
      <c r="AT227" s="82"/>
      <c r="AU227" s="82"/>
    </row>
    <row r="228" spans="1:47" ht="15.75" customHeight="1">
      <c r="A228" s="82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4"/>
      <c r="AM228" s="84"/>
      <c r="AN228" s="84"/>
      <c r="AO228" s="82"/>
      <c r="AP228" s="82"/>
      <c r="AQ228" s="82"/>
      <c r="AR228" s="84"/>
      <c r="AS228" s="82"/>
      <c r="AT228" s="82"/>
      <c r="AU228" s="82"/>
    </row>
    <row r="229" spans="1:47" ht="15.75" customHeight="1">
      <c r="A229" s="82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4"/>
      <c r="AM229" s="84"/>
      <c r="AN229" s="84"/>
      <c r="AO229" s="82"/>
      <c r="AP229" s="82"/>
      <c r="AQ229" s="82"/>
      <c r="AR229" s="84"/>
      <c r="AS229" s="82"/>
      <c r="AT229" s="82"/>
      <c r="AU229" s="82"/>
    </row>
    <row r="230" spans="1:47" ht="15.75" customHeight="1">
      <c r="A230" s="82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4"/>
      <c r="AM230" s="84"/>
      <c r="AN230" s="84"/>
      <c r="AO230" s="82"/>
      <c r="AP230" s="82"/>
      <c r="AQ230" s="82"/>
      <c r="AR230" s="84"/>
      <c r="AS230" s="82"/>
      <c r="AT230" s="82"/>
      <c r="AU230" s="82"/>
    </row>
    <row r="231" spans="1:47" ht="15.75" customHeight="1">
      <c r="A231" s="82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4"/>
      <c r="AM231" s="84"/>
      <c r="AN231" s="84"/>
      <c r="AO231" s="82"/>
      <c r="AP231" s="82"/>
      <c r="AQ231" s="82"/>
      <c r="AR231" s="84"/>
      <c r="AS231" s="82"/>
      <c r="AT231" s="82"/>
      <c r="AU231" s="82"/>
    </row>
    <row r="232" spans="1:47" ht="15.75" customHeight="1">
      <c r="A232" s="82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4"/>
      <c r="AM232" s="84"/>
      <c r="AN232" s="84"/>
      <c r="AO232" s="82"/>
      <c r="AP232" s="82"/>
      <c r="AQ232" s="82"/>
      <c r="AR232" s="84"/>
      <c r="AS232" s="82"/>
      <c r="AT232" s="82"/>
      <c r="AU232" s="82"/>
    </row>
    <row r="233" spans="1:47" ht="15.75" customHeight="1">
      <c r="A233" s="82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4"/>
      <c r="AM233" s="84"/>
      <c r="AN233" s="84"/>
      <c r="AO233" s="82"/>
      <c r="AP233" s="82"/>
      <c r="AQ233" s="82"/>
      <c r="AR233" s="84"/>
      <c r="AS233" s="82"/>
      <c r="AT233" s="82"/>
      <c r="AU233" s="82"/>
    </row>
    <row r="234" spans="1:47" ht="15.75" customHeight="1">
      <c r="A234" s="82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4"/>
      <c r="AM234" s="84"/>
      <c r="AN234" s="84"/>
      <c r="AO234" s="82"/>
      <c r="AP234" s="82"/>
      <c r="AQ234" s="82"/>
      <c r="AR234" s="84"/>
      <c r="AS234" s="82"/>
      <c r="AT234" s="82"/>
      <c r="AU234" s="82"/>
    </row>
    <row r="235" spans="1:47" ht="15.75" customHeight="1">
      <c r="A235" s="82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4"/>
      <c r="AM235" s="84"/>
      <c r="AN235" s="84"/>
      <c r="AO235" s="82"/>
      <c r="AP235" s="82"/>
      <c r="AQ235" s="82"/>
      <c r="AR235" s="84"/>
      <c r="AS235" s="82"/>
      <c r="AT235" s="82"/>
      <c r="AU235" s="82"/>
    </row>
    <row r="236" spans="1:47" ht="15.75" customHeight="1">
      <c r="A236" s="82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4"/>
      <c r="AM236" s="84"/>
      <c r="AN236" s="84"/>
      <c r="AO236" s="82"/>
      <c r="AP236" s="82"/>
      <c r="AQ236" s="82"/>
      <c r="AR236" s="84"/>
      <c r="AS236" s="82"/>
      <c r="AT236" s="82"/>
      <c r="AU236" s="82"/>
    </row>
    <row r="237" spans="1:47" ht="15.75" customHeight="1">
      <c r="A237" s="82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4"/>
      <c r="AM237" s="84"/>
      <c r="AN237" s="84"/>
      <c r="AO237" s="82"/>
      <c r="AP237" s="82"/>
      <c r="AQ237" s="82"/>
      <c r="AR237" s="84"/>
      <c r="AS237" s="82"/>
      <c r="AT237" s="82"/>
      <c r="AU237" s="82"/>
    </row>
    <row r="238" spans="1:47" ht="15.75" customHeight="1">
      <c r="A238" s="82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4"/>
      <c r="AM238" s="84"/>
      <c r="AN238" s="84"/>
      <c r="AO238" s="82"/>
      <c r="AP238" s="82"/>
      <c r="AQ238" s="82"/>
      <c r="AR238" s="84"/>
      <c r="AS238" s="82"/>
      <c r="AT238" s="82"/>
      <c r="AU238" s="82"/>
    </row>
    <row r="239" spans="1:47" ht="15.75" customHeight="1">
      <c r="A239" s="82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4"/>
      <c r="AM239" s="84"/>
      <c r="AN239" s="84"/>
      <c r="AO239" s="82"/>
      <c r="AP239" s="82"/>
      <c r="AQ239" s="82"/>
      <c r="AR239" s="84"/>
      <c r="AS239" s="82"/>
      <c r="AT239" s="82"/>
      <c r="AU239" s="82"/>
    </row>
    <row r="240" spans="1:47" ht="15.75" customHeight="1">
      <c r="A240" s="82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4"/>
      <c r="AM240" s="84"/>
      <c r="AN240" s="84"/>
      <c r="AO240" s="82"/>
      <c r="AP240" s="82"/>
      <c r="AQ240" s="82"/>
      <c r="AR240" s="84"/>
      <c r="AS240" s="82"/>
      <c r="AT240" s="82"/>
      <c r="AU240" s="82"/>
    </row>
    <row r="241" spans="1:47" ht="15.75" customHeight="1">
      <c r="A241" s="82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4"/>
      <c r="AM241" s="84"/>
      <c r="AN241" s="84"/>
      <c r="AO241" s="82"/>
      <c r="AP241" s="82"/>
      <c r="AQ241" s="82"/>
      <c r="AR241" s="84"/>
      <c r="AS241" s="82"/>
      <c r="AT241" s="82"/>
      <c r="AU241" s="82"/>
    </row>
    <row r="242" spans="1:47" ht="15.75" customHeight="1">
      <c r="A242" s="82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4"/>
      <c r="AM242" s="84"/>
      <c r="AN242" s="84"/>
      <c r="AO242" s="82"/>
      <c r="AP242" s="82"/>
      <c r="AQ242" s="82"/>
      <c r="AR242" s="84"/>
      <c r="AS242" s="82"/>
      <c r="AT242" s="82"/>
      <c r="AU242" s="82"/>
    </row>
    <row r="243" spans="1:47" ht="15.75" customHeight="1">
      <c r="A243" s="82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4"/>
      <c r="AM243" s="84"/>
      <c r="AN243" s="84"/>
      <c r="AO243" s="82"/>
      <c r="AP243" s="82"/>
      <c r="AQ243" s="82"/>
      <c r="AR243" s="84"/>
      <c r="AS243" s="82"/>
      <c r="AT243" s="82"/>
      <c r="AU243" s="82"/>
    </row>
    <row r="244" spans="1:47" ht="15.75" customHeight="1">
      <c r="A244" s="82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4"/>
      <c r="AM244" s="84"/>
      <c r="AN244" s="84"/>
      <c r="AO244" s="82"/>
      <c r="AP244" s="82"/>
      <c r="AQ244" s="82"/>
      <c r="AR244" s="84"/>
      <c r="AS244" s="82"/>
      <c r="AT244" s="82"/>
      <c r="AU244" s="82"/>
    </row>
    <row r="245" spans="1:47" ht="15.75" customHeight="1">
      <c r="A245" s="82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4"/>
      <c r="AM245" s="84"/>
      <c r="AN245" s="84"/>
      <c r="AO245" s="82"/>
      <c r="AP245" s="82"/>
      <c r="AQ245" s="82"/>
      <c r="AR245" s="84"/>
      <c r="AS245" s="82"/>
      <c r="AT245" s="82"/>
      <c r="AU245" s="82"/>
    </row>
    <row r="246" spans="1:47" ht="15.75" customHeight="1">
      <c r="A246" s="82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4"/>
      <c r="AM246" s="84"/>
      <c r="AN246" s="84"/>
      <c r="AO246" s="82"/>
      <c r="AP246" s="82"/>
      <c r="AQ246" s="82"/>
      <c r="AR246" s="84"/>
      <c r="AS246" s="82"/>
      <c r="AT246" s="82"/>
      <c r="AU246" s="82"/>
    </row>
    <row r="247" spans="1:47" ht="15.75" customHeight="1">
      <c r="A247" s="82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4"/>
      <c r="AM247" s="84"/>
      <c r="AN247" s="84"/>
      <c r="AO247" s="82"/>
      <c r="AP247" s="82"/>
      <c r="AQ247" s="82"/>
      <c r="AR247" s="84"/>
      <c r="AS247" s="82"/>
      <c r="AT247" s="82"/>
      <c r="AU247" s="82"/>
    </row>
    <row r="248" spans="1:47" ht="15.75" customHeight="1">
      <c r="A248" s="82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4"/>
      <c r="AM248" s="84"/>
      <c r="AN248" s="84"/>
      <c r="AO248" s="82"/>
      <c r="AP248" s="82"/>
      <c r="AQ248" s="82"/>
      <c r="AR248" s="84"/>
      <c r="AS248" s="82"/>
      <c r="AT248" s="82"/>
      <c r="AU248" s="82"/>
    </row>
    <row r="249" spans="1:47" ht="15.75" customHeight="1">
      <c r="A249" s="82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4"/>
      <c r="AM249" s="84"/>
      <c r="AN249" s="84"/>
      <c r="AO249" s="82"/>
      <c r="AP249" s="82"/>
      <c r="AQ249" s="82"/>
      <c r="AR249" s="84"/>
      <c r="AS249" s="82"/>
      <c r="AT249" s="82"/>
      <c r="AU249" s="82"/>
    </row>
    <row r="250" spans="1:47" ht="15.75" customHeight="1">
      <c r="A250" s="82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4"/>
      <c r="AM250" s="84"/>
      <c r="AN250" s="84"/>
      <c r="AO250" s="82"/>
      <c r="AP250" s="82"/>
      <c r="AQ250" s="82"/>
      <c r="AR250" s="84"/>
      <c r="AS250" s="82"/>
      <c r="AT250" s="82"/>
      <c r="AU250" s="82"/>
    </row>
    <row r="251" spans="1:47" ht="15.75" customHeight="1">
      <c r="A251" s="82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4"/>
      <c r="AM251" s="84"/>
      <c r="AN251" s="84"/>
      <c r="AO251" s="82"/>
      <c r="AP251" s="82"/>
      <c r="AQ251" s="82"/>
      <c r="AR251" s="84"/>
      <c r="AS251" s="82"/>
      <c r="AT251" s="82"/>
      <c r="AU251" s="82"/>
    </row>
    <row r="252" spans="1:47" ht="15.75" customHeight="1">
      <c r="A252" s="82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4"/>
      <c r="AM252" s="84"/>
      <c r="AN252" s="84"/>
      <c r="AO252" s="82"/>
      <c r="AP252" s="82"/>
      <c r="AQ252" s="82"/>
      <c r="AR252" s="84"/>
      <c r="AS252" s="82"/>
      <c r="AT252" s="82"/>
      <c r="AU252" s="82"/>
    </row>
    <row r="253" spans="1:47" ht="15.75" customHeight="1">
      <c r="A253" s="82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4"/>
      <c r="AM253" s="84"/>
      <c r="AN253" s="84"/>
      <c r="AO253" s="82"/>
      <c r="AP253" s="82"/>
      <c r="AQ253" s="82"/>
      <c r="AR253" s="84"/>
      <c r="AS253" s="82"/>
      <c r="AT253" s="82"/>
      <c r="AU253" s="82"/>
    </row>
    <row r="254" spans="1:47" ht="15.75" customHeight="1">
      <c r="A254" s="82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4"/>
      <c r="AM254" s="84"/>
      <c r="AN254" s="84"/>
      <c r="AO254" s="82"/>
      <c r="AP254" s="82"/>
      <c r="AQ254" s="82"/>
      <c r="AR254" s="84"/>
      <c r="AS254" s="82"/>
      <c r="AT254" s="82"/>
      <c r="AU254" s="82"/>
    </row>
    <row r="255" spans="1:47" ht="15.75" customHeight="1">
      <c r="A255" s="82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4"/>
      <c r="AM255" s="84"/>
      <c r="AN255" s="84"/>
      <c r="AO255" s="82"/>
      <c r="AP255" s="82"/>
      <c r="AQ255" s="82"/>
      <c r="AR255" s="84"/>
      <c r="AS255" s="82"/>
      <c r="AT255" s="82"/>
      <c r="AU255" s="82"/>
    </row>
    <row r="256" spans="1:47" ht="15.75" customHeight="1">
      <c r="A256" s="82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4"/>
      <c r="AM256" s="84"/>
      <c r="AN256" s="84"/>
      <c r="AO256" s="82"/>
      <c r="AP256" s="82"/>
      <c r="AQ256" s="82"/>
      <c r="AR256" s="84"/>
      <c r="AS256" s="82"/>
      <c r="AT256" s="82"/>
      <c r="AU256" s="82"/>
    </row>
    <row r="257" spans="1:47" ht="15.75" customHeight="1">
      <c r="A257" s="82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4"/>
      <c r="AM257" s="84"/>
      <c r="AN257" s="84"/>
      <c r="AO257" s="82"/>
      <c r="AP257" s="82"/>
      <c r="AQ257" s="82"/>
      <c r="AR257" s="84"/>
      <c r="AS257" s="82"/>
      <c r="AT257" s="82"/>
      <c r="AU257" s="82"/>
    </row>
    <row r="258" spans="1:47" ht="15.75" customHeight="1">
      <c r="A258" s="82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4"/>
      <c r="AM258" s="84"/>
      <c r="AN258" s="84"/>
      <c r="AO258" s="82"/>
      <c r="AP258" s="82"/>
      <c r="AQ258" s="82"/>
      <c r="AR258" s="84"/>
      <c r="AS258" s="82"/>
      <c r="AT258" s="82"/>
      <c r="AU258" s="82"/>
    </row>
    <row r="259" spans="1:47" ht="15.75" customHeight="1">
      <c r="A259" s="82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4"/>
      <c r="AM259" s="84"/>
      <c r="AN259" s="84"/>
      <c r="AO259" s="82"/>
      <c r="AP259" s="82"/>
      <c r="AQ259" s="82"/>
      <c r="AR259" s="84"/>
      <c r="AS259" s="82"/>
      <c r="AT259" s="82"/>
      <c r="AU259" s="82"/>
    </row>
    <row r="260" spans="1:47" ht="15.75" customHeight="1">
      <c r="A260" s="82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4"/>
      <c r="AM260" s="84"/>
      <c r="AN260" s="84"/>
      <c r="AO260" s="82"/>
      <c r="AP260" s="82"/>
      <c r="AQ260" s="82"/>
      <c r="AR260" s="84"/>
      <c r="AS260" s="82"/>
      <c r="AT260" s="82"/>
      <c r="AU260" s="82"/>
    </row>
    <row r="261" spans="1:47" ht="15.75" customHeight="1">
      <c r="A261" s="82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4"/>
      <c r="AM261" s="84"/>
      <c r="AN261" s="84"/>
      <c r="AO261" s="82"/>
      <c r="AP261" s="82"/>
      <c r="AQ261" s="82"/>
      <c r="AR261" s="84"/>
      <c r="AS261" s="82"/>
      <c r="AT261" s="82"/>
      <c r="AU261" s="82"/>
    </row>
    <row r="262" spans="1:47" ht="15.75" customHeight="1">
      <c r="A262" s="82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4"/>
      <c r="AM262" s="84"/>
      <c r="AN262" s="84"/>
      <c r="AO262" s="82"/>
      <c r="AP262" s="82"/>
      <c r="AQ262" s="82"/>
      <c r="AR262" s="84"/>
      <c r="AS262" s="82"/>
      <c r="AT262" s="82"/>
      <c r="AU262" s="82"/>
    </row>
    <row r="263" spans="1:47" ht="15.75" customHeight="1">
      <c r="A263" s="82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4"/>
      <c r="AM263" s="84"/>
      <c r="AN263" s="84"/>
      <c r="AO263" s="82"/>
      <c r="AP263" s="82"/>
      <c r="AQ263" s="82"/>
      <c r="AR263" s="84"/>
      <c r="AS263" s="82"/>
      <c r="AT263" s="82"/>
      <c r="AU263" s="82"/>
    </row>
    <row r="264" spans="1:47" ht="15.75" customHeight="1">
      <c r="A264" s="82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4"/>
      <c r="AM264" s="84"/>
      <c r="AN264" s="84"/>
      <c r="AO264" s="82"/>
      <c r="AP264" s="82"/>
      <c r="AQ264" s="82"/>
      <c r="AR264" s="84"/>
      <c r="AS264" s="82"/>
      <c r="AT264" s="82"/>
      <c r="AU264" s="82"/>
    </row>
    <row r="265" spans="1:47" ht="15.75" customHeight="1">
      <c r="A265" s="82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4"/>
      <c r="AM265" s="84"/>
      <c r="AN265" s="84"/>
      <c r="AO265" s="82"/>
      <c r="AP265" s="82"/>
      <c r="AQ265" s="82"/>
      <c r="AR265" s="84"/>
      <c r="AS265" s="82"/>
      <c r="AT265" s="82"/>
      <c r="AU265" s="82"/>
    </row>
    <row r="266" spans="1:47" ht="15.75" customHeight="1">
      <c r="A266" s="82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4"/>
      <c r="AM266" s="84"/>
      <c r="AN266" s="84"/>
      <c r="AO266" s="82"/>
      <c r="AP266" s="82"/>
      <c r="AQ266" s="82"/>
      <c r="AR266" s="84"/>
      <c r="AS266" s="82"/>
      <c r="AT266" s="82"/>
      <c r="AU266" s="82"/>
    </row>
    <row r="267" spans="1:47" ht="15.75" customHeight="1">
      <c r="A267" s="82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4"/>
      <c r="AM267" s="84"/>
      <c r="AN267" s="84"/>
      <c r="AO267" s="82"/>
      <c r="AP267" s="82"/>
      <c r="AQ267" s="82"/>
      <c r="AR267" s="84"/>
      <c r="AS267" s="82"/>
      <c r="AT267" s="82"/>
      <c r="AU267" s="82"/>
    </row>
    <row r="268" spans="1:47" ht="15.75" customHeight="1">
      <c r="A268" s="82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4"/>
      <c r="AM268" s="84"/>
      <c r="AN268" s="84"/>
      <c r="AO268" s="82"/>
      <c r="AP268" s="82"/>
      <c r="AQ268" s="82"/>
      <c r="AR268" s="84"/>
      <c r="AS268" s="82"/>
      <c r="AT268" s="82"/>
      <c r="AU268" s="82"/>
    </row>
    <row r="269" spans="1:47" ht="15.75" customHeight="1">
      <c r="A269" s="82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4"/>
      <c r="AM269" s="84"/>
      <c r="AN269" s="84"/>
      <c r="AO269" s="82"/>
      <c r="AP269" s="82"/>
      <c r="AQ269" s="82"/>
      <c r="AR269" s="84"/>
      <c r="AS269" s="82"/>
      <c r="AT269" s="82"/>
      <c r="AU269" s="82"/>
    </row>
    <row r="270" spans="1:47" ht="15.75" customHeight="1">
      <c r="A270" s="82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4"/>
      <c r="AM270" s="84"/>
      <c r="AN270" s="84"/>
      <c r="AO270" s="82"/>
      <c r="AP270" s="82"/>
      <c r="AQ270" s="82"/>
      <c r="AR270" s="84"/>
      <c r="AS270" s="82"/>
      <c r="AT270" s="82"/>
      <c r="AU270" s="82"/>
    </row>
    <row r="271" spans="1:47" ht="15.75" customHeight="1">
      <c r="A271" s="82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4"/>
      <c r="AM271" s="84"/>
      <c r="AN271" s="84"/>
      <c r="AO271" s="82"/>
      <c r="AP271" s="82"/>
      <c r="AQ271" s="82"/>
      <c r="AR271" s="84"/>
      <c r="AS271" s="82"/>
      <c r="AT271" s="82"/>
      <c r="AU271" s="82"/>
    </row>
    <row r="272" spans="1:47" ht="15.75" customHeight="1">
      <c r="A272" s="82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4"/>
      <c r="AM272" s="84"/>
      <c r="AN272" s="84"/>
      <c r="AO272" s="82"/>
      <c r="AP272" s="82"/>
      <c r="AQ272" s="82"/>
      <c r="AR272" s="84"/>
      <c r="AS272" s="82"/>
      <c r="AT272" s="82"/>
      <c r="AU272" s="82"/>
    </row>
    <row r="273" spans="1:47" ht="15.75" customHeight="1">
      <c r="A273" s="82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4"/>
      <c r="AM273" s="84"/>
      <c r="AN273" s="84"/>
      <c r="AO273" s="82"/>
      <c r="AP273" s="82"/>
      <c r="AQ273" s="82"/>
      <c r="AR273" s="84"/>
      <c r="AS273" s="82"/>
      <c r="AT273" s="82"/>
      <c r="AU273" s="82"/>
    </row>
    <row r="274" spans="1:47" ht="15.75" customHeight="1">
      <c r="A274" s="82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4"/>
      <c r="AM274" s="84"/>
      <c r="AN274" s="84"/>
      <c r="AO274" s="82"/>
      <c r="AP274" s="82"/>
      <c r="AQ274" s="82"/>
      <c r="AR274" s="84"/>
      <c r="AS274" s="82"/>
      <c r="AT274" s="82"/>
      <c r="AU274" s="82"/>
    </row>
    <row r="275" spans="1:47" ht="15.75" customHeight="1">
      <c r="A275" s="82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4"/>
      <c r="AM275" s="84"/>
      <c r="AN275" s="84"/>
      <c r="AO275" s="82"/>
      <c r="AP275" s="82"/>
      <c r="AQ275" s="82"/>
      <c r="AR275" s="84"/>
      <c r="AS275" s="82"/>
      <c r="AT275" s="82"/>
      <c r="AU275" s="82"/>
    </row>
    <row r="276" spans="1:47" ht="15.75" customHeight="1">
      <c r="A276" s="82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4"/>
      <c r="AM276" s="84"/>
      <c r="AN276" s="84"/>
      <c r="AO276" s="82"/>
      <c r="AP276" s="82"/>
      <c r="AQ276" s="82"/>
      <c r="AR276" s="84"/>
      <c r="AS276" s="82"/>
      <c r="AT276" s="82"/>
      <c r="AU276" s="82"/>
    </row>
    <row r="277" spans="1:47" ht="15.75" customHeight="1">
      <c r="A277" s="82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4"/>
      <c r="AM277" s="84"/>
      <c r="AN277" s="84"/>
      <c r="AO277" s="82"/>
      <c r="AP277" s="82"/>
      <c r="AQ277" s="82"/>
      <c r="AR277" s="84"/>
      <c r="AS277" s="82"/>
      <c r="AT277" s="82"/>
      <c r="AU277" s="82"/>
    </row>
    <row r="278" spans="1:47" ht="15.75" customHeight="1">
      <c r="A278" s="82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4"/>
      <c r="AM278" s="84"/>
      <c r="AN278" s="84"/>
      <c r="AO278" s="82"/>
      <c r="AP278" s="82"/>
      <c r="AQ278" s="82"/>
      <c r="AR278" s="84"/>
      <c r="AS278" s="82"/>
      <c r="AT278" s="82"/>
      <c r="AU278" s="82"/>
    </row>
    <row r="279" spans="1:47" ht="15.75" customHeight="1">
      <c r="A279" s="82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4"/>
      <c r="AM279" s="84"/>
      <c r="AN279" s="84"/>
      <c r="AO279" s="82"/>
      <c r="AP279" s="82"/>
      <c r="AQ279" s="82"/>
      <c r="AR279" s="84"/>
      <c r="AS279" s="82"/>
      <c r="AT279" s="82"/>
      <c r="AU279" s="82"/>
    </row>
    <row r="280" spans="1:47" ht="15.75" customHeight="1">
      <c r="A280" s="82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4"/>
      <c r="AM280" s="84"/>
      <c r="AN280" s="84"/>
      <c r="AO280" s="82"/>
      <c r="AP280" s="82"/>
      <c r="AQ280" s="82"/>
      <c r="AR280" s="84"/>
      <c r="AS280" s="82"/>
      <c r="AT280" s="82"/>
      <c r="AU280" s="82"/>
    </row>
    <row r="281" spans="1:47" ht="15.75" customHeight="1">
      <c r="A281" s="82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4"/>
      <c r="AM281" s="84"/>
      <c r="AN281" s="84"/>
      <c r="AO281" s="82"/>
      <c r="AP281" s="82"/>
      <c r="AQ281" s="82"/>
      <c r="AR281" s="84"/>
      <c r="AS281" s="82"/>
      <c r="AT281" s="82"/>
      <c r="AU281" s="82"/>
    </row>
    <row r="282" spans="1:47" ht="15.75" customHeight="1">
      <c r="A282" s="82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4"/>
      <c r="AM282" s="84"/>
      <c r="AN282" s="84"/>
      <c r="AO282" s="82"/>
      <c r="AP282" s="82"/>
      <c r="AQ282" s="82"/>
      <c r="AR282" s="84"/>
      <c r="AS282" s="82"/>
      <c r="AT282" s="82"/>
      <c r="AU282" s="82"/>
    </row>
    <row r="283" spans="1:47" ht="15.75" customHeight="1">
      <c r="A283" s="82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4"/>
      <c r="AM283" s="84"/>
      <c r="AN283" s="84"/>
      <c r="AO283" s="82"/>
      <c r="AP283" s="82"/>
      <c r="AQ283" s="82"/>
      <c r="AR283" s="84"/>
      <c r="AS283" s="82"/>
      <c r="AT283" s="82"/>
      <c r="AU283" s="82"/>
    </row>
    <row r="284" spans="1:47" ht="15.75" customHeight="1">
      <c r="A284" s="82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4"/>
      <c r="AM284" s="84"/>
      <c r="AN284" s="84"/>
      <c r="AO284" s="82"/>
      <c r="AP284" s="82"/>
      <c r="AQ284" s="82"/>
      <c r="AR284" s="84"/>
      <c r="AS284" s="82"/>
      <c r="AT284" s="82"/>
      <c r="AU284" s="82"/>
    </row>
    <row r="285" spans="1:47" ht="15.75" customHeight="1">
      <c r="A285" s="82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4"/>
      <c r="AM285" s="84"/>
      <c r="AN285" s="84"/>
      <c r="AO285" s="82"/>
      <c r="AP285" s="82"/>
      <c r="AQ285" s="82"/>
      <c r="AR285" s="84"/>
      <c r="AS285" s="82"/>
      <c r="AT285" s="82"/>
      <c r="AU285" s="82"/>
    </row>
    <row r="286" spans="1:47" ht="15.75" customHeight="1">
      <c r="A286" s="82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4"/>
      <c r="AM286" s="84"/>
      <c r="AN286" s="84"/>
      <c r="AO286" s="82"/>
      <c r="AP286" s="82"/>
      <c r="AQ286" s="82"/>
      <c r="AR286" s="84"/>
      <c r="AS286" s="82"/>
      <c r="AT286" s="82"/>
      <c r="AU286" s="82"/>
    </row>
    <row r="287" spans="1:47" ht="15.75" customHeight="1">
      <c r="A287" s="82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4"/>
      <c r="AM287" s="84"/>
      <c r="AN287" s="84"/>
      <c r="AO287" s="82"/>
      <c r="AP287" s="82"/>
      <c r="AQ287" s="82"/>
      <c r="AR287" s="84"/>
      <c r="AS287" s="82"/>
      <c r="AT287" s="82"/>
      <c r="AU287" s="82"/>
    </row>
    <row r="288" spans="1:47" ht="15.75" customHeight="1">
      <c r="A288" s="82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4"/>
      <c r="AM288" s="84"/>
      <c r="AN288" s="84"/>
      <c r="AO288" s="82"/>
      <c r="AP288" s="82"/>
      <c r="AQ288" s="82"/>
      <c r="AR288" s="84"/>
      <c r="AS288" s="82"/>
      <c r="AT288" s="82"/>
      <c r="AU288" s="82"/>
    </row>
    <row r="289" spans="1:47" ht="15.75" customHeight="1">
      <c r="A289" s="82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4"/>
      <c r="AM289" s="84"/>
      <c r="AN289" s="84"/>
      <c r="AO289" s="82"/>
      <c r="AP289" s="82"/>
      <c r="AQ289" s="82"/>
      <c r="AR289" s="84"/>
      <c r="AS289" s="82"/>
      <c r="AT289" s="82"/>
      <c r="AU289" s="82"/>
    </row>
    <row r="290" spans="1:47" ht="15.75" customHeight="1">
      <c r="A290" s="82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4"/>
      <c r="AM290" s="84"/>
      <c r="AN290" s="84"/>
      <c r="AO290" s="82"/>
      <c r="AP290" s="82"/>
      <c r="AQ290" s="82"/>
      <c r="AR290" s="84"/>
      <c r="AS290" s="82"/>
      <c r="AT290" s="82"/>
      <c r="AU290" s="82"/>
    </row>
    <row r="291" spans="1:47" ht="15.75" customHeight="1">
      <c r="A291" s="82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4"/>
      <c r="AM291" s="84"/>
      <c r="AN291" s="84"/>
      <c r="AO291" s="82"/>
      <c r="AP291" s="82"/>
      <c r="AQ291" s="82"/>
      <c r="AR291" s="84"/>
      <c r="AS291" s="82"/>
      <c r="AT291" s="82"/>
      <c r="AU291" s="82"/>
    </row>
    <row r="292" spans="1:47" ht="15.75" customHeight="1">
      <c r="A292" s="82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4"/>
      <c r="AM292" s="84"/>
      <c r="AN292" s="84"/>
      <c r="AO292" s="82"/>
      <c r="AP292" s="82"/>
      <c r="AQ292" s="82"/>
      <c r="AR292" s="84"/>
      <c r="AS292" s="82"/>
      <c r="AT292" s="82"/>
      <c r="AU292" s="82"/>
    </row>
    <row r="293" spans="1:47" ht="15.75" customHeight="1">
      <c r="A293" s="82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4"/>
      <c r="AM293" s="84"/>
      <c r="AN293" s="84"/>
      <c r="AO293" s="82"/>
      <c r="AP293" s="82"/>
      <c r="AQ293" s="82"/>
      <c r="AR293" s="84"/>
      <c r="AS293" s="82"/>
      <c r="AT293" s="82"/>
      <c r="AU293" s="82"/>
    </row>
    <row r="294" spans="1:47" ht="15.75" customHeight="1">
      <c r="A294" s="82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4"/>
      <c r="AM294" s="84"/>
      <c r="AN294" s="84"/>
      <c r="AO294" s="82"/>
      <c r="AP294" s="82"/>
      <c r="AQ294" s="82"/>
      <c r="AR294" s="84"/>
      <c r="AS294" s="82"/>
      <c r="AT294" s="82"/>
      <c r="AU294" s="82"/>
    </row>
    <row r="295" spans="1:47" ht="15.75" customHeight="1">
      <c r="A295" s="82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4"/>
      <c r="AM295" s="84"/>
      <c r="AN295" s="84"/>
      <c r="AO295" s="82"/>
      <c r="AP295" s="82"/>
      <c r="AQ295" s="82"/>
      <c r="AR295" s="84"/>
      <c r="AS295" s="82"/>
      <c r="AT295" s="82"/>
      <c r="AU295" s="82"/>
    </row>
    <row r="296" spans="1:47" ht="15.75" customHeight="1">
      <c r="A296" s="82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4"/>
      <c r="AM296" s="84"/>
      <c r="AN296" s="84"/>
      <c r="AO296" s="82"/>
      <c r="AP296" s="82"/>
      <c r="AQ296" s="82"/>
      <c r="AR296" s="84"/>
      <c r="AS296" s="82"/>
      <c r="AT296" s="82"/>
      <c r="AU296" s="82"/>
    </row>
    <row r="297" spans="1:47" ht="15.75" customHeight="1">
      <c r="A297" s="82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4"/>
      <c r="AM297" s="84"/>
      <c r="AN297" s="84"/>
      <c r="AO297" s="82"/>
      <c r="AP297" s="82"/>
      <c r="AQ297" s="82"/>
      <c r="AR297" s="84"/>
      <c r="AS297" s="82"/>
      <c r="AT297" s="82"/>
      <c r="AU297" s="82"/>
    </row>
    <row r="298" spans="1:47" ht="15.75" customHeight="1">
      <c r="A298" s="82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4"/>
      <c r="AM298" s="84"/>
      <c r="AN298" s="84"/>
      <c r="AO298" s="82"/>
      <c r="AP298" s="82"/>
      <c r="AQ298" s="82"/>
      <c r="AR298" s="84"/>
      <c r="AS298" s="82"/>
      <c r="AT298" s="82"/>
      <c r="AU298" s="82"/>
    </row>
    <row r="299" spans="1:47" ht="15.75" customHeight="1">
      <c r="A299" s="82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4"/>
      <c r="AM299" s="84"/>
      <c r="AN299" s="84"/>
      <c r="AO299" s="82"/>
      <c r="AP299" s="82"/>
      <c r="AQ299" s="82"/>
      <c r="AR299" s="84"/>
      <c r="AS299" s="82"/>
      <c r="AT299" s="82"/>
      <c r="AU299" s="82"/>
    </row>
    <row r="300" spans="1:47" ht="15.75" customHeight="1">
      <c r="A300" s="82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84"/>
      <c r="AM300" s="84"/>
      <c r="AN300" s="84"/>
      <c r="AO300" s="82"/>
      <c r="AP300" s="82"/>
      <c r="AQ300" s="82"/>
      <c r="AR300" s="84"/>
      <c r="AS300" s="82"/>
      <c r="AT300" s="82"/>
      <c r="AU300" s="82"/>
    </row>
    <row r="301" spans="1:47" ht="15.75" customHeight="1">
      <c r="A301" s="82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4"/>
      <c r="AM301" s="84"/>
      <c r="AN301" s="84"/>
      <c r="AO301" s="82"/>
      <c r="AP301" s="82"/>
      <c r="AQ301" s="82"/>
      <c r="AR301" s="84"/>
      <c r="AS301" s="82"/>
      <c r="AT301" s="82"/>
      <c r="AU301" s="82"/>
    </row>
    <row r="302" spans="1:47" ht="15.75" customHeight="1">
      <c r="A302" s="82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84"/>
      <c r="AM302" s="84"/>
      <c r="AN302" s="84"/>
      <c r="AO302" s="82"/>
      <c r="AP302" s="82"/>
      <c r="AQ302" s="82"/>
      <c r="AR302" s="84"/>
      <c r="AS302" s="82"/>
      <c r="AT302" s="82"/>
      <c r="AU302" s="82"/>
    </row>
    <row r="303" spans="1:47" ht="15.75" customHeight="1">
      <c r="A303" s="82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4"/>
      <c r="AM303" s="84"/>
      <c r="AN303" s="84"/>
      <c r="AO303" s="82"/>
      <c r="AP303" s="82"/>
      <c r="AQ303" s="82"/>
      <c r="AR303" s="84"/>
      <c r="AS303" s="82"/>
      <c r="AT303" s="82"/>
      <c r="AU303" s="82"/>
    </row>
    <row r="304" spans="1:47" ht="15.75" customHeight="1">
      <c r="A304" s="82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4"/>
      <c r="AM304" s="84"/>
      <c r="AN304" s="84"/>
      <c r="AO304" s="82"/>
      <c r="AP304" s="82"/>
      <c r="AQ304" s="82"/>
      <c r="AR304" s="84"/>
      <c r="AS304" s="82"/>
      <c r="AT304" s="82"/>
      <c r="AU304" s="82"/>
    </row>
    <row r="305" spans="1:47" ht="15.75" customHeight="1">
      <c r="A305" s="82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4"/>
      <c r="AM305" s="84"/>
      <c r="AN305" s="84"/>
      <c r="AO305" s="82"/>
      <c r="AP305" s="82"/>
      <c r="AQ305" s="82"/>
      <c r="AR305" s="84"/>
      <c r="AS305" s="82"/>
      <c r="AT305" s="82"/>
      <c r="AU305" s="82"/>
    </row>
    <row r="306" spans="1:47" ht="15.75" customHeight="1">
      <c r="A306" s="82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84"/>
      <c r="AM306" s="84"/>
      <c r="AN306" s="84"/>
      <c r="AO306" s="82"/>
      <c r="AP306" s="82"/>
      <c r="AQ306" s="82"/>
      <c r="AR306" s="84"/>
      <c r="AS306" s="82"/>
      <c r="AT306" s="82"/>
      <c r="AU306" s="82"/>
    </row>
    <row r="307" spans="1:47" ht="15.75" customHeight="1">
      <c r="A307" s="82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  <c r="AD307" s="83"/>
      <c r="AE307" s="83"/>
      <c r="AF307" s="83"/>
      <c r="AG307" s="83"/>
      <c r="AH307" s="83"/>
      <c r="AI307" s="83"/>
      <c r="AJ307" s="83"/>
      <c r="AK307" s="83"/>
      <c r="AL307" s="84"/>
      <c r="AM307" s="84"/>
      <c r="AN307" s="84"/>
      <c r="AO307" s="82"/>
      <c r="AP307" s="82"/>
      <c r="AQ307" s="82"/>
      <c r="AR307" s="84"/>
      <c r="AS307" s="82"/>
      <c r="AT307" s="82"/>
      <c r="AU307" s="82"/>
    </row>
    <row r="308" spans="1:47" ht="15.75" customHeight="1">
      <c r="A308" s="82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  <c r="AD308" s="83"/>
      <c r="AE308" s="83"/>
      <c r="AF308" s="83"/>
      <c r="AG308" s="83"/>
      <c r="AH308" s="83"/>
      <c r="AI308" s="83"/>
      <c r="AJ308" s="83"/>
      <c r="AK308" s="83"/>
      <c r="AL308" s="84"/>
      <c r="AM308" s="84"/>
      <c r="AN308" s="84"/>
      <c r="AO308" s="82"/>
      <c r="AP308" s="82"/>
      <c r="AQ308" s="82"/>
      <c r="AR308" s="84"/>
      <c r="AS308" s="82"/>
      <c r="AT308" s="82"/>
      <c r="AU308" s="82"/>
    </row>
    <row r="309" spans="1:47" ht="15.75" customHeight="1">
      <c r="A309" s="82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  <c r="AD309" s="83"/>
      <c r="AE309" s="83"/>
      <c r="AF309" s="83"/>
      <c r="AG309" s="83"/>
      <c r="AH309" s="83"/>
      <c r="AI309" s="83"/>
      <c r="AJ309" s="83"/>
      <c r="AK309" s="83"/>
      <c r="AL309" s="84"/>
      <c r="AM309" s="84"/>
      <c r="AN309" s="84"/>
      <c r="AO309" s="82"/>
      <c r="AP309" s="82"/>
      <c r="AQ309" s="82"/>
      <c r="AR309" s="84"/>
      <c r="AS309" s="82"/>
      <c r="AT309" s="82"/>
      <c r="AU309" s="82"/>
    </row>
    <row r="310" spans="1:47" ht="15.75" customHeight="1">
      <c r="A310" s="82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  <c r="AD310" s="83"/>
      <c r="AE310" s="83"/>
      <c r="AF310" s="83"/>
      <c r="AG310" s="83"/>
      <c r="AH310" s="83"/>
      <c r="AI310" s="83"/>
      <c r="AJ310" s="83"/>
      <c r="AK310" s="83"/>
      <c r="AL310" s="84"/>
      <c r="AM310" s="84"/>
      <c r="AN310" s="84"/>
      <c r="AO310" s="82"/>
      <c r="AP310" s="82"/>
      <c r="AQ310" s="82"/>
      <c r="AR310" s="84"/>
      <c r="AS310" s="82"/>
      <c r="AT310" s="82"/>
      <c r="AU310" s="82"/>
    </row>
    <row r="311" spans="1:47" ht="15.75" customHeight="1">
      <c r="A311" s="82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  <c r="AD311" s="83"/>
      <c r="AE311" s="83"/>
      <c r="AF311" s="83"/>
      <c r="AG311" s="83"/>
      <c r="AH311" s="83"/>
      <c r="AI311" s="83"/>
      <c r="AJ311" s="83"/>
      <c r="AK311" s="83"/>
      <c r="AL311" s="84"/>
      <c r="AM311" s="84"/>
      <c r="AN311" s="84"/>
      <c r="AO311" s="82"/>
      <c r="AP311" s="82"/>
      <c r="AQ311" s="82"/>
      <c r="AR311" s="84"/>
      <c r="AS311" s="82"/>
      <c r="AT311" s="82"/>
      <c r="AU311" s="82"/>
    </row>
    <row r="312" spans="1:47" ht="15.75" customHeight="1">
      <c r="A312" s="82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  <c r="AD312" s="83"/>
      <c r="AE312" s="83"/>
      <c r="AF312" s="83"/>
      <c r="AG312" s="83"/>
      <c r="AH312" s="83"/>
      <c r="AI312" s="83"/>
      <c r="AJ312" s="83"/>
      <c r="AK312" s="83"/>
      <c r="AL312" s="84"/>
      <c r="AM312" s="84"/>
      <c r="AN312" s="84"/>
      <c r="AO312" s="82"/>
      <c r="AP312" s="82"/>
      <c r="AQ312" s="82"/>
      <c r="AR312" s="84"/>
      <c r="AS312" s="82"/>
      <c r="AT312" s="82"/>
      <c r="AU312" s="82"/>
    </row>
    <row r="313" spans="1:47" ht="15.75" customHeight="1">
      <c r="A313" s="82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  <c r="AD313" s="83"/>
      <c r="AE313" s="83"/>
      <c r="AF313" s="83"/>
      <c r="AG313" s="83"/>
      <c r="AH313" s="83"/>
      <c r="AI313" s="83"/>
      <c r="AJ313" s="83"/>
      <c r="AK313" s="83"/>
      <c r="AL313" s="84"/>
      <c r="AM313" s="84"/>
      <c r="AN313" s="84"/>
      <c r="AO313" s="82"/>
      <c r="AP313" s="82"/>
      <c r="AQ313" s="82"/>
      <c r="AR313" s="84"/>
      <c r="AS313" s="82"/>
      <c r="AT313" s="82"/>
      <c r="AU313" s="82"/>
    </row>
    <row r="314" spans="1:47" ht="15.75" customHeight="1">
      <c r="A314" s="82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4"/>
      <c r="AM314" s="84"/>
      <c r="AN314" s="84"/>
      <c r="AO314" s="82"/>
      <c r="AP314" s="82"/>
      <c r="AQ314" s="82"/>
      <c r="AR314" s="84"/>
      <c r="AS314" s="82"/>
      <c r="AT314" s="82"/>
      <c r="AU314" s="82"/>
    </row>
    <row r="315" spans="1:47" ht="15.75" customHeight="1">
      <c r="A315" s="82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  <c r="AH315" s="83"/>
      <c r="AI315" s="83"/>
      <c r="AJ315" s="83"/>
      <c r="AK315" s="83"/>
      <c r="AL315" s="84"/>
      <c r="AM315" s="84"/>
      <c r="AN315" s="84"/>
      <c r="AO315" s="82"/>
      <c r="AP315" s="82"/>
      <c r="AQ315" s="82"/>
      <c r="AR315" s="84"/>
      <c r="AS315" s="82"/>
      <c r="AT315" s="82"/>
      <c r="AU315" s="82"/>
    </row>
    <row r="316" spans="1:47" ht="15.75" customHeight="1">
      <c r="A316" s="82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  <c r="AI316" s="83"/>
      <c r="AJ316" s="83"/>
      <c r="AK316" s="83"/>
      <c r="AL316" s="84"/>
      <c r="AM316" s="84"/>
      <c r="AN316" s="84"/>
      <c r="AO316" s="82"/>
      <c r="AP316" s="82"/>
      <c r="AQ316" s="82"/>
      <c r="AR316" s="84"/>
      <c r="AS316" s="82"/>
      <c r="AT316" s="82"/>
      <c r="AU316" s="82"/>
    </row>
    <row r="317" spans="1:47" ht="15.75" customHeight="1">
      <c r="A317" s="82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  <c r="AI317" s="83"/>
      <c r="AJ317" s="83"/>
      <c r="AK317" s="83"/>
      <c r="AL317" s="84"/>
      <c r="AM317" s="84"/>
      <c r="AN317" s="84"/>
      <c r="AO317" s="82"/>
      <c r="AP317" s="82"/>
      <c r="AQ317" s="82"/>
      <c r="AR317" s="84"/>
      <c r="AS317" s="82"/>
      <c r="AT317" s="82"/>
      <c r="AU317" s="82"/>
    </row>
    <row r="318" spans="1:47" ht="15.75" customHeight="1">
      <c r="A318" s="82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  <c r="AD318" s="83"/>
      <c r="AE318" s="83"/>
      <c r="AF318" s="83"/>
      <c r="AG318" s="83"/>
      <c r="AH318" s="83"/>
      <c r="AI318" s="83"/>
      <c r="AJ318" s="83"/>
      <c r="AK318" s="83"/>
      <c r="AL318" s="84"/>
      <c r="AM318" s="84"/>
      <c r="AN318" s="84"/>
      <c r="AO318" s="82"/>
      <c r="AP318" s="82"/>
      <c r="AQ318" s="82"/>
      <c r="AR318" s="84"/>
      <c r="AS318" s="82"/>
      <c r="AT318" s="82"/>
      <c r="AU318" s="82"/>
    </row>
    <row r="319" spans="1:47" ht="15.75" customHeight="1">
      <c r="A319" s="82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  <c r="AD319" s="83"/>
      <c r="AE319" s="83"/>
      <c r="AF319" s="83"/>
      <c r="AG319" s="83"/>
      <c r="AH319" s="83"/>
      <c r="AI319" s="83"/>
      <c r="AJ319" s="83"/>
      <c r="AK319" s="83"/>
      <c r="AL319" s="84"/>
      <c r="AM319" s="84"/>
      <c r="AN319" s="84"/>
      <c r="AO319" s="82"/>
      <c r="AP319" s="82"/>
      <c r="AQ319" s="82"/>
      <c r="AR319" s="84"/>
      <c r="AS319" s="82"/>
      <c r="AT319" s="82"/>
      <c r="AU319" s="82"/>
    </row>
    <row r="320" spans="1:47" ht="15.75" customHeight="1">
      <c r="A320" s="82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  <c r="AD320" s="83"/>
      <c r="AE320" s="83"/>
      <c r="AF320" s="83"/>
      <c r="AG320" s="83"/>
      <c r="AH320" s="83"/>
      <c r="AI320" s="83"/>
      <c r="AJ320" s="83"/>
      <c r="AK320" s="83"/>
      <c r="AL320" s="84"/>
      <c r="AM320" s="84"/>
      <c r="AN320" s="84"/>
      <c r="AO320" s="82"/>
      <c r="AP320" s="82"/>
      <c r="AQ320" s="82"/>
      <c r="AR320" s="84"/>
      <c r="AS320" s="82"/>
      <c r="AT320" s="82"/>
      <c r="AU320" s="82"/>
    </row>
    <row r="321" spans="1:47" ht="15.75" customHeight="1">
      <c r="A321" s="82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  <c r="AD321" s="83"/>
      <c r="AE321" s="83"/>
      <c r="AF321" s="83"/>
      <c r="AG321" s="83"/>
      <c r="AH321" s="83"/>
      <c r="AI321" s="83"/>
      <c r="AJ321" s="83"/>
      <c r="AK321" s="83"/>
      <c r="AL321" s="84"/>
      <c r="AM321" s="84"/>
      <c r="AN321" s="84"/>
      <c r="AO321" s="82"/>
      <c r="AP321" s="82"/>
      <c r="AQ321" s="82"/>
      <c r="AR321" s="84"/>
      <c r="AS321" s="82"/>
      <c r="AT321" s="82"/>
      <c r="AU321" s="82"/>
    </row>
    <row r="322" spans="1:47" ht="15.75" customHeight="1">
      <c r="A322" s="82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  <c r="AD322" s="83"/>
      <c r="AE322" s="83"/>
      <c r="AF322" s="83"/>
      <c r="AG322" s="83"/>
      <c r="AH322" s="83"/>
      <c r="AI322" s="83"/>
      <c r="AJ322" s="83"/>
      <c r="AK322" s="83"/>
      <c r="AL322" s="84"/>
      <c r="AM322" s="84"/>
      <c r="AN322" s="84"/>
      <c r="AO322" s="82"/>
      <c r="AP322" s="82"/>
      <c r="AQ322" s="82"/>
      <c r="AR322" s="84"/>
      <c r="AS322" s="82"/>
      <c r="AT322" s="82"/>
      <c r="AU322" s="82"/>
    </row>
    <row r="323" spans="1:47" ht="15.75" customHeight="1">
      <c r="A323" s="82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83"/>
      <c r="AF323" s="83"/>
      <c r="AG323" s="83"/>
      <c r="AH323" s="83"/>
      <c r="AI323" s="83"/>
      <c r="AJ323" s="83"/>
      <c r="AK323" s="83"/>
      <c r="AL323" s="84"/>
      <c r="AM323" s="84"/>
      <c r="AN323" s="84"/>
      <c r="AO323" s="82"/>
      <c r="AP323" s="82"/>
      <c r="AQ323" s="82"/>
      <c r="AR323" s="84"/>
      <c r="AS323" s="82"/>
      <c r="AT323" s="82"/>
      <c r="AU323" s="82"/>
    </row>
    <row r="324" spans="1:47" ht="15.75" customHeight="1">
      <c r="A324" s="82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  <c r="AD324" s="83"/>
      <c r="AE324" s="83"/>
      <c r="AF324" s="83"/>
      <c r="AG324" s="83"/>
      <c r="AH324" s="83"/>
      <c r="AI324" s="83"/>
      <c r="AJ324" s="83"/>
      <c r="AK324" s="83"/>
      <c r="AL324" s="84"/>
      <c r="AM324" s="84"/>
      <c r="AN324" s="84"/>
      <c r="AO324" s="82"/>
      <c r="AP324" s="82"/>
      <c r="AQ324" s="82"/>
      <c r="AR324" s="84"/>
      <c r="AS324" s="82"/>
      <c r="AT324" s="82"/>
      <c r="AU324" s="82"/>
    </row>
    <row r="325" spans="1:47" ht="15.75" customHeight="1">
      <c r="A325" s="82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  <c r="AD325" s="83"/>
      <c r="AE325" s="83"/>
      <c r="AF325" s="83"/>
      <c r="AG325" s="83"/>
      <c r="AH325" s="83"/>
      <c r="AI325" s="83"/>
      <c r="AJ325" s="83"/>
      <c r="AK325" s="83"/>
      <c r="AL325" s="84"/>
      <c r="AM325" s="84"/>
      <c r="AN325" s="84"/>
      <c r="AO325" s="82"/>
      <c r="AP325" s="82"/>
      <c r="AQ325" s="82"/>
      <c r="AR325" s="84"/>
      <c r="AS325" s="82"/>
      <c r="AT325" s="82"/>
      <c r="AU325" s="82"/>
    </row>
    <row r="326" spans="1:47" ht="15.75" customHeight="1">
      <c r="A326" s="82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  <c r="AD326" s="83"/>
      <c r="AE326" s="83"/>
      <c r="AF326" s="83"/>
      <c r="AG326" s="83"/>
      <c r="AH326" s="83"/>
      <c r="AI326" s="83"/>
      <c r="AJ326" s="83"/>
      <c r="AK326" s="83"/>
      <c r="AL326" s="84"/>
      <c r="AM326" s="84"/>
      <c r="AN326" s="84"/>
      <c r="AO326" s="82"/>
      <c r="AP326" s="82"/>
      <c r="AQ326" s="82"/>
      <c r="AR326" s="84"/>
      <c r="AS326" s="82"/>
      <c r="AT326" s="82"/>
      <c r="AU326" s="82"/>
    </row>
    <row r="327" spans="1:47" ht="15.75" customHeight="1">
      <c r="A327" s="82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  <c r="AD327" s="83"/>
      <c r="AE327" s="83"/>
      <c r="AF327" s="83"/>
      <c r="AG327" s="83"/>
      <c r="AH327" s="83"/>
      <c r="AI327" s="83"/>
      <c r="AJ327" s="83"/>
      <c r="AK327" s="83"/>
      <c r="AL327" s="84"/>
      <c r="AM327" s="84"/>
      <c r="AN327" s="84"/>
      <c r="AO327" s="82"/>
      <c r="AP327" s="82"/>
      <c r="AQ327" s="82"/>
      <c r="AR327" s="84"/>
      <c r="AS327" s="82"/>
      <c r="AT327" s="82"/>
      <c r="AU327" s="82"/>
    </row>
    <row r="328" spans="1:47" ht="15.75" customHeight="1">
      <c r="A328" s="82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  <c r="AD328" s="83"/>
      <c r="AE328" s="83"/>
      <c r="AF328" s="83"/>
      <c r="AG328" s="83"/>
      <c r="AH328" s="83"/>
      <c r="AI328" s="83"/>
      <c r="AJ328" s="83"/>
      <c r="AK328" s="83"/>
      <c r="AL328" s="84"/>
      <c r="AM328" s="84"/>
      <c r="AN328" s="84"/>
      <c r="AO328" s="82"/>
      <c r="AP328" s="82"/>
      <c r="AQ328" s="82"/>
      <c r="AR328" s="84"/>
      <c r="AS328" s="82"/>
      <c r="AT328" s="82"/>
      <c r="AU328" s="82"/>
    </row>
    <row r="329" spans="1:47" ht="15.75" customHeight="1">
      <c r="A329" s="82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  <c r="AD329" s="83"/>
      <c r="AE329" s="83"/>
      <c r="AF329" s="83"/>
      <c r="AG329" s="83"/>
      <c r="AH329" s="83"/>
      <c r="AI329" s="83"/>
      <c r="AJ329" s="83"/>
      <c r="AK329" s="83"/>
      <c r="AL329" s="84"/>
      <c r="AM329" s="84"/>
      <c r="AN329" s="84"/>
      <c r="AO329" s="82"/>
      <c r="AP329" s="82"/>
      <c r="AQ329" s="82"/>
      <c r="AR329" s="84"/>
      <c r="AS329" s="82"/>
      <c r="AT329" s="82"/>
      <c r="AU329" s="82"/>
    </row>
    <row r="330" spans="1:47" ht="15.75" customHeight="1">
      <c r="A330" s="82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  <c r="AD330" s="83"/>
      <c r="AE330" s="83"/>
      <c r="AF330" s="83"/>
      <c r="AG330" s="83"/>
      <c r="AH330" s="83"/>
      <c r="AI330" s="83"/>
      <c r="AJ330" s="83"/>
      <c r="AK330" s="83"/>
      <c r="AL330" s="84"/>
      <c r="AM330" s="84"/>
      <c r="AN330" s="84"/>
      <c r="AO330" s="82"/>
      <c r="AP330" s="82"/>
      <c r="AQ330" s="82"/>
      <c r="AR330" s="84"/>
      <c r="AS330" s="82"/>
      <c r="AT330" s="82"/>
      <c r="AU330" s="82"/>
    </row>
    <row r="331" spans="1:47" ht="15.75" customHeight="1">
      <c r="A331" s="82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  <c r="AD331" s="83"/>
      <c r="AE331" s="83"/>
      <c r="AF331" s="83"/>
      <c r="AG331" s="83"/>
      <c r="AH331" s="83"/>
      <c r="AI331" s="83"/>
      <c r="AJ331" s="83"/>
      <c r="AK331" s="83"/>
      <c r="AL331" s="84"/>
      <c r="AM331" s="84"/>
      <c r="AN331" s="84"/>
      <c r="AO331" s="82"/>
      <c r="AP331" s="82"/>
      <c r="AQ331" s="82"/>
      <c r="AR331" s="84"/>
      <c r="AS331" s="82"/>
      <c r="AT331" s="82"/>
      <c r="AU331" s="82"/>
    </row>
    <row r="332" spans="1:47" ht="15.75" customHeight="1">
      <c r="A332" s="82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  <c r="AD332" s="83"/>
      <c r="AE332" s="83"/>
      <c r="AF332" s="83"/>
      <c r="AG332" s="83"/>
      <c r="AH332" s="83"/>
      <c r="AI332" s="83"/>
      <c r="AJ332" s="83"/>
      <c r="AK332" s="83"/>
      <c r="AL332" s="84"/>
      <c r="AM332" s="84"/>
      <c r="AN332" s="84"/>
      <c r="AO332" s="82"/>
      <c r="AP332" s="82"/>
      <c r="AQ332" s="82"/>
      <c r="AR332" s="84"/>
      <c r="AS332" s="82"/>
      <c r="AT332" s="82"/>
      <c r="AU332" s="82"/>
    </row>
    <row r="333" spans="1:47" ht="15.75" customHeight="1">
      <c r="A333" s="82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  <c r="AD333" s="83"/>
      <c r="AE333" s="83"/>
      <c r="AF333" s="83"/>
      <c r="AG333" s="83"/>
      <c r="AH333" s="83"/>
      <c r="AI333" s="83"/>
      <c r="AJ333" s="83"/>
      <c r="AK333" s="83"/>
      <c r="AL333" s="84"/>
      <c r="AM333" s="84"/>
      <c r="AN333" s="84"/>
      <c r="AO333" s="82"/>
      <c r="AP333" s="82"/>
      <c r="AQ333" s="82"/>
      <c r="AR333" s="84"/>
      <c r="AS333" s="82"/>
      <c r="AT333" s="82"/>
      <c r="AU333" s="82"/>
    </row>
    <row r="334" spans="1:47" ht="15.75" customHeight="1">
      <c r="A334" s="82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  <c r="AD334" s="83"/>
      <c r="AE334" s="83"/>
      <c r="AF334" s="83"/>
      <c r="AG334" s="83"/>
      <c r="AH334" s="83"/>
      <c r="AI334" s="83"/>
      <c r="AJ334" s="83"/>
      <c r="AK334" s="83"/>
      <c r="AL334" s="84"/>
      <c r="AM334" s="84"/>
      <c r="AN334" s="84"/>
      <c r="AO334" s="82"/>
      <c r="AP334" s="82"/>
      <c r="AQ334" s="82"/>
      <c r="AR334" s="84"/>
      <c r="AS334" s="82"/>
      <c r="AT334" s="82"/>
      <c r="AU334" s="82"/>
    </row>
    <row r="335" spans="1:47" ht="15.75" customHeight="1">
      <c r="A335" s="82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  <c r="AD335" s="83"/>
      <c r="AE335" s="83"/>
      <c r="AF335" s="83"/>
      <c r="AG335" s="83"/>
      <c r="AH335" s="83"/>
      <c r="AI335" s="83"/>
      <c r="AJ335" s="83"/>
      <c r="AK335" s="83"/>
      <c r="AL335" s="84"/>
      <c r="AM335" s="84"/>
      <c r="AN335" s="84"/>
      <c r="AO335" s="82"/>
      <c r="AP335" s="82"/>
      <c r="AQ335" s="82"/>
      <c r="AR335" s="84"/>
      <c r="AS335" s="82"/>
      <c r="AT335" s="82"/>
      <c r="AU335" s="82"/>
    </row>
    <row r="336" spans="1:47" ht="15.75" customHeight="1">
      <c r="A336" s="82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  <c r="AD336" s="83"/>
      <c r="AE336" s="83"/>
      <c r="AF336" s="83"/>
      <c r="AG336" s="83"/>
      <c r="AH336" s="83"/>
      <c r="AI336" s="83"/>
      <c r="AJ336" s="83"/>
      <c r="AK336" s="83"/>
      <c r="AL336" s="84"/>
      <c r="AM336" s="84"/>
      <c r="AN336" s="84"/>
      <c r="AO336" s="82"/>
      <c r="AP336" s="82"/>
      <c r="AQ336" s="82"/>
      <c r="AR336" s="84"/>
      <c r="AS336" s="82"/>
      <c r="AT336" s="82"/>
      <c r="AU336" s="82"/>
    </row>
    <row r="337" spans="1:47" ht="15.75" customHeight="1">
      <c r="A337" s="82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  <c r="AD337" s="83"/>
      <c r="AE337" s="83"/>
      <c r="AF337" s="83"/>
      <c r="AG337" s="83"/>
      <c r="AH337" s="83"/>
      <c r="AI337" s="83"/>
      <c r="AJ337" s="83"/>
      <c r="AK337" s="83"/>
      <c r="AL337" s="84"/>
      <c r="AM337" s="84"/>
      <c r="AN337" s="84"/>
      <c r="AO337" s="82"/>
      <c r="AP337" s="82"/>
      <c r="AQ337" s="82"/>
      <c r="AR337" s="84"/>
      <c r="AS337" s="82"/>
      <c r="AT337" s="82"/>
      <c r="AU337" s="82"/>
    </row>
    <row r="338" spans="1:47" ht="15.75" customHeight="1">
      <c r="A338" s="82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  <c r="AD338" s="83"/>
      <c r="AE338" s="83"/>
      <c r="AF338" s="83"/>
      <c r="AG338" s="83"/>
      <c r="AH338" s="83"/>
      <c r="AI338" s="83"/>
      <c r="AJ338" s="83"/>
      <c r="AK338" s="83"/>
      <c r="AL338" s="84"/>
      <c r="AM338" s="84"/>
      <c r="AN338" s="84"/>
      <c r="AO338" s="82"/>
      <c r="AP338" s="82"/>
      <c r="AQ338" s="82"/>
      <c r="AR338" s="84"/>
      <c r="AS338" s="82"/>
      <c r="AT338" s="82"/>
      <c r="AU338" s="82"/>
    </row>
    <row r="339" spans="1:47" ht="15.75" customHeight="1">
      <c r="A339" s="82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  <c r="AD339" s="83"/>
      <c r="AE339" s="83"/>
      <c r="AF339" s="83"/>
      <c r="AG339" s="83"/>
      <c r="AH339" s="83"/>
      <c r="AI339" s="83"/>
      <c r="AJ339" s="83"/>
      <c r="AK339" s="83"/>
      <c r="AL339" s="84"/>
      <c r="AM339" s="84"/>
      <c r="AN339" s="84"/>
      <c r="AO339" s="82"/>
      <c r="AP339" s="82"/>
      <c r="AQ339" s="82"/>
      <c r="AR339" s="84"/>
      <c r="AS339" s="82"/>
      <c r="AT339" s="82"/>
      <c r="AU339" s="82"/>
    </row>
    <row r="340" spans="1:47" ht="15.75" customHeight="1">
      <c r="A340" s="82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  <c r="AD340" s="83"/>
      <c r="AE340" s="83"/>
      <c r="AF340" s="83"/>
      <c r="AG340" s="83"/>
      <c r="AH340" s="83"/>
      <c r="AI340" s="83"/>
      <c r="AJ340" s="83"/>
      <c r="AK340" s="83"/>
      <c r="AL340" s="84"/>
      <c r="AM340" s="84"/>
      <c r="AN340" s="84"/>
      <c r="AO340" s="82"/>
      <c r="AP340" s="82"/>
      <c r="AQ340" s="82"/>
      <c r="AR340" s="84"/>
      <c r="AS340" s="82"/>
      <c r="AT340" s="82"/>
      <c r="AU340" s="82"/>
    </row>
    <row r="341" spans="1:47" ht="15.75" customHeight="1">
      <c r="A341" s="82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  <c r="AD341" s="83"/>
      <c r="AE341" s="83"/>
      <c r="AF341" s="83"/>
      <c r="AG341" s="83"/>
      <c r="AH341" s="83"/>
      <c r="AI341" s="83"/>
      <c r="AJ341" s="83"/>
      <c r="AK341" s="83"/>
      <c r="AL341" s="84"/>
      <c r="AM341" s="84"/>
      <c r="AN341" s="84"/>
      <c r="AO341" s="82"/>
      <c r="AP341" s="82"/>
      <c r="AQ341" s="82"/>
      <c r="AR341" s="84"/>
      <c r="AS341" s="82"/>
      <c r="AT341" s="82"/>
      <c r="AU341" s="82"/>
    </row>
    <row r="342" spans="1:47" ht="15.75" customHeight="1">
      <c r="A342" s="82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  <c r="AD342" s="83"/>
      <c r="AE342" s="83"/>
      <c r="AF342" s="83"/>
      <c r="AG342" s="83"/>
      <c r="AH342" s="83"/>
      <c r="AI342" s="83"/>
      <c r="AJ342" s="83"/>
      <c r="AK342" s="83"/>
      <c r="AL342" s="84"/>
      <c r="AM342" s="84"/>
      <c r="AN342" s="84"/>
      <c r="AO342" s="82"/>
      <c r="AP342" s="82"/>
      <c r="AQ342" s="82"/>
      <c r="AR342" s="84"/>
      <c r="AS342" s="82"/>
      <c r="AT342" s="82"/>
      <c r="AU342" s="82"/>
    </row>
    <row r="343" spans="1:47" ht="15.75" customHeight="1">
      <c r="A343" s="82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  <c r="AD343" s="83"/>
      <c r="AE343" s="83"/>
      <c r="AF343" s="83"/>
      <c r="AG343" s="83"/>
      <c r="AH343" s="83"/>
      <c r="AI343" s="83"/>
      <c r="AJ343" s="83"/>
      <c r="AK343" s="83"/>
      <c r="AL343" s="84"/>
      <c r="AM343" s="84"/>
      <c r="AN343" s="84"/>
      <c r="AO343" s="82"/>
      <c r="AP343" s="82"/>
      <c r="AQ343" s="82"/>
      <c r="AR343" s="84"/>
      <c r="AS343" s="82"/>
      <c r="AT343" s="82"/>
      <c r="AU343" s="82"/>
    </row>
    <row r="344" spans="1:47" ht="15.75" customHeight="1">
      <c r="A344" s="82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  <c r="AD344" s="83"/>
      <c r="AE344" s="83"/>
      <c r="AF344" s="83"/>
      <c r="AG344" s="83"/>
      <c r="AH344" s="83"/>
      <c r="AI344" s="83"/>
      <c r="AJ344" s="83"/>
      <c r="AK344" s="83"/>
      <c r="AL344" s="84"/>
      <c r="AM344" s="84"/>
      <c r="AN344" s="84"/>
      <c r="AO344" s="82"/>
      <c r="AP344" s="82"/>
      <c r="AQ344" s="82"/>
      <c r="AR344" s="84"/>
      <c r="AS344" s="82"/>
      <c r="AT344" s="82"/>
      <c r="AU344" s="82"/>
    </row>
    <row r="345" spans="1:47" ht="15.75" customHeight="1">
      <c r="A345" s="82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  <c r="AD345" s="83"/>
      <c r="AE345" s="83"/>
      <c r="AF345" s="83"/>
      <c r="AG345" s="83"/>
      <c r="AH345" s="83"/>
      <c r="AI345" s="83"/>
      <c r="AJ345" s="83"/>
      <c r="AK345" s="83"/>
      <c r="AL345" s="84"/>
      <c r="AM345" s="84"/>
      <c r="AN345" s="84"/>
      <c r="AO345" s="82"/>
      <c r="AP345" s="82"/>
      <c r="AQ345" s="82"/>
      <c r="AR345" s="84"/>
      <c r="AS345" s="82"/>
      <c r="AT345" s="82"/>
      <c r="AU345" s="82"/>
    </row>
    <row r="346" spans="1:47" ht="15.75" customHeight="1">
      <c r="A346" s="82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  <c r="AD346" s="83"/>
      <c r="AE346" s="83"/>
      <c r="AF346" s="83"/>
      <c r="AG346" s="83"/>
      <c r="AH346" s="83"/>
      <c r="AI346" s="83"/>
      <c r="AJ346" s="83"/>
      <c r="AK346" s="83"/>
      <c r="AL346" s="84"/>
      <c r="AM346" s="84"/>
      <c r="AN346" s="84"/>
      <c r="AO346" s="82"/>
      <c r="AP346" s="82"/>
      <c r="AQ346" s="82"/>
      <c r="AR346" s="84"/>
      <c r="AS346" s="82"/>
      <c r="AT346" s="82"/>
      <c r="AU346" s="82"/>
    </row>
    <row r="347" spans="1:47" ht="15.75" customHeight="1">
      <c r="A347" s="82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  <c r="AD347" s="83"/>
      <c r="AE347" s="83"/>
      <c r="AF347" s="83"/>
      <c r="AG347" s="83"/>
      <c r="AH347" s="83"/>
      <c r="AI347" s="83"/>
      <c r="AJ347" s="83"/>
      <c r="AK347" s="83"/>
      <c r="AL347" s="84"/>
      <c r="AM347" s="84"/>
      <c r="AN347" s="84"/>
      <c r="AO347" s="82"/>
      <c r="AP347" s="82"/>
      <c r="AQ347" s="82"/>
      <c r="AR347" s="84"/>
      <c r="AS347" s="82"/>
      <c r="AT347" s="82"/>
      <c r="AU347" s="82"/>
    </row>
    <row r="348" spans="1:47" ht="15.75" customHeight="1">
      <c r="A348" s="82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  <c r="AD348" s="83"/>
      <c r="AE348" s="83"/>
      <c r="AF348" s="83"/>
      <c r="AG348" s="83"/>
      <c r="AH348" s="83"/>
      <c r="AI348" s="83"/>
      <c r="AJ348" s="83"/>
      <c r="AK348" s="83"/>
      <c r="AL348" s="84"/>
      <c r="AM348" s="84"/>
      <c r="AN348" s="84"/>
      <c r="AO348" s="82"/>
      <c r="AP348" s="82"/>
      <c r="AQ348" s="82"/>
      <c r="AR348" s="84"/>
      <c r="AS348" s="82"/>
      <c r="AT348" s="82"/>
      <c r="AU348" s="82"/>
    </row>
    <row r="349" spans="1:47" ht="15.75" customHeight="1">
      <c r="A349" s="82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  <c r="AD349" s="83"/>
      <c r="AE349" s="83"/>
      <c r="AF349" s="83"/>
      <c r="AG349" s="83"/>
      <c r="AH349" s="83"/>
      <c r="AI349" s="83"/>
      <c r="AJ349" s="83"/>
      <c r="AK349" s="83"/>
      <c r="AL349" s="84"/>
      <c r="AM349" s="84"/>
      <c r="AN349" s="84"/>
      <c r="AO349" s="82"/>
      <c r="AP349" s="82"/>
      <c r="AQ349" s="82"/>
      <c r="AR349" s="84"/>
      <c r="AS349" s="82"/>
      <c r="AT349" s="82"/>
      <c r="AU349" s="82"/>
    </row>
    <row r="350" spans="1:47" ht="15.75" customHeight="1">
      <c r="A350" s="82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  <c r="AD350" s="83"/>
      <c r="AE350" s="83"/>
      <c r="AF350" s="83"/>
      <c r="AG350" s="83"/>
      <c r="AH350" s="83"/>
      <c r="AI350" s="83"/>
      <c r="AJ350" s="83"/>
      <c r="AK350" s="83"/>
      <c r="AL350" s="84"/>
      <c r="AM350" s="84"/>
      <c r="AN350" s="84"/>
      <c r="AO350" s="82"/>
      <c r="AP350" s="82"/>
      <c r="AQ350" s="82"/>
      <c r="AR350" s="84"/>
      <c r="AS350" s="82"/>
      <c r="AT350" s="82"/>
      <c r="AU350" s="82"/>
    </row>
    <row r="351" spans="1:47" ht="15.75" customHeight="1">
      <c r="A351" s="82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  <c r="AD351" s="83"/>
      <c r="AE351" s="83"/>
      <c r="AF351" s="83"/>
      <c r="AG351" s="83"/>
      <c r="AH351" s="83"/>
      <c r="AI351" s="83"/>
      <c r="AJ351" s="83"/>
      <c r="AK351" s="83"/>
      <c r="AL351" s="84"/>
      <c r="AM351" s="84"/>
      <c r="AN351" s="84"/>
      <c r="AO351" s="82"/>
      <c r="AP351" s="82"/>
      <c r="AQ351" s="82"/>
      <c r="AR351" s="84"/>
      <c r="AS351" s="82"/>
      <c r="AT351" s="82"/>
      <c r="AU351" s="82"/>
    </row>
    <row r="352" spans="1:47" ht="15.75" customHeight="1">
      <c r="A352" s="82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  <c r="AI352" s="83"/>
      <c r="AJ352" s="83"/>
      <c r="AK352" s="83"/>
      <c r="AL352" s="84"/>
      <c r="AM352" s="84"/>
      <c r="AN352" s="84"/>
      <c r="AO352" s="82"/>
      <c r="AP352" s="82"/>
      <c r="AQ352" s="82"/>
      <c r="AR352" s="84"/>
      <c r="AS352" s="82"/>
      <c r="AT352" s="82"/>
      <c r="AU352" s="82"/>
    </row>
    <row r="353" spans="1:47" ht="15.75" customHeight="1">
      <c r="A353" s="82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  <c r="AD353" s="83"/>
      <c r="AE353" s="83"/>
      <c r="AF353" s="83"/>
      <c r="AG353" s="83"/>
      <c r="AH353" s="83"/>
      <c r="AI353" s="83"/>
      <c r="AJ353" s="83"/>
      <c r="AK353" s="83"/>
      <c r="AL353" s="84"/>
      <c r="AM353" s="84"/>
      <c r="AN353" s="84"/>
      <c r="AO353" s="82"/>
      <c r="AP353" s="82"/>
      <c r="AQ353" s="82"/>
      <c r="AR353" s="84"/>
      <c r="AS353" s="82"/>
      <c r="AT353" s="82"/>
      <c r="AU353" s="82"/>
    </row>
    <row r="354" spans="1:47" ht="15.75" customHeight="1">
      <c r="A354" s="82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  <c r="AD354" s="83"/>
      <c r="AE354" s="83"/>
      <c r="AF354" s="83"/>
      <c r="AG354" s="83"/>
      <c r="AH354" s="83"/>
      <c r="AI354" s="83"/>
      <c r="AJ354" s="83"/>
      <c r="AK354" s="83"/>
      <c r="AL354" s="84"/>
      <c r="AM354" s="84"/>
      <c r="AN354" s="84"/>
      <c r="AO354" s="82"/>
      <c r="AP354" s="82"/>
      <c r="AQ354" s="82"/>
      <c r="AR354" s="84"/>
      <c r="AS354" s="82"/>
      <c r="AT354" s="82"/>
      <c r="AU354" s="82"/>
    </row>
    <row r="355" spans="1:47" ht="15.75" customHeight="1">
      <c r="A355" s="82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  <c r="AD355" s="83"/>
      <c r="AE355" s="83"/>
      <c r="AF355" s="83"/>
      <c r="AG355" s="83"/>
      <c r="AH355" s="83"/>
      <c r="AI355" s="83"/>
      <c r="AJ355" s="83"/>
      <c r="AK355" s="83"/>
      <c r="AL355" s="84"/>
      <c r="AM355" s="84"/>
      <c r="AN355" s="84"/>
      <c r="AO355" s="82"/>
      <c r="AP355" s="82"/>
      <c r="AQ355" s="82"/>
      <c r="AR355" s="84"/>
      <c r="AS355" s="82"/>
      <c r="AT355" s="82"/>
      <c r="AU355" s="82"/>
    </row>
    <row r="356" spans="1:47" ht="15.75" customHeight="1">
      <c r="A356" s="82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  <c r="AD356" s="83"/>
      <c r="AE356" s="83"/>
      <c r="AF356" s="83"/>
      <c r="AG356" s="83"/>
      <c r="AH356" s="83"/>
      <c r="AI356" s="83"/>
      <c r="AJ356" s="83"/>
      <c r="AK356" s="83"/>
      <c r="AL356" s="84"/>
      <c r="AM356" s="84"/>
      <c r="AN356" s="84"/>
      <c r="AO356" s="82"/>
      <c r="AP356" s="82"/>
      <c r="AQ356" s="82"/>
      <c r="AR356" s="84"/>
      <c r="AS356" s="82"/>
      <c r="AT356" s="82"/>
      <c r="AU356" s="82"/>
    </row>
    <row r="357" spans="1:47" ht="15.75" customHeight="1">
      <c r="A357" s="82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  <c r="AD357" s="83"/>
      <c r="AE357" s="83"/>
      <c r="AF357" s="83"/>
      <c r="AG357" s="83"/>
      <c r="AH357" s="83"/>
      <c r="AI357" s="83"/>
      <c r="AJ357" s="83"/>
      <c r="AK357" s="83"/>
      <c r="AL357" s="84"/>
      <c r="AM357" s="84"/>
      <c r="AN357" s="84"/>
      <c r="AO357" s="82"/>
      <c r="AP357" s="82"/>
      <c r="AQ357" s="82"/>
      <c r="AR357" s="84"/>
      <c r="AS357" s="82"/>
      <c r="AT357" s="82"/>
      <c r="AU357" s="82"/>
    </row>
    <row r="358" spans="1:47" ht="15.75" customHeight="1">
      <c r="A358" s="82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  <c r="AD358" s="83"/>
      <c r="AE358" s="83"/>
      <c r="AF358" s="83"/>
      <c r="AG358" s="83"/>
      <c r="AH358" s="83"/>
      <c r="AI358" s="83"/>
      <c r="AJ358" s="83"/>
      <c r="AK358" s="83"/>
      <c r="AL358" s="84"/>
      <c r="AM358" s="84"/>
      <c r="AN358" s="84"/>
      <c r="AO358" s="82"/>
      <c r="AP358" s="82"/>
      <c r="AQ358" s="82"/>
      <c r="AR358" s="84"/>
      <c r="AS358" s="82"/>
      <c r="AT358" s="82"/>
      <c r="AU358" s="82"/>
    </row>
    <row r="359" spans="1:47" ht="15.75" customHeight="1">
      <c r="A359" s="82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  <c r="AD359" s="83"/>
      <c r="AE359" s="83"/>
      <c r="AF359" s="83"/>
      <c r="AG359" s="83"/>
      <c r="AH359" s="83"/>
      <c r="AI359" s="83"/>
      <c r="AJ359" s="83"/>
      <c r="AK359" s="83"/>
      <c r="AL359" s="84"/>
      <c r="AM359" s="84"/>
      <c r="AN359" s="84"/>
      <c r="AO359" s="82"/>
      <c r="AP359" s="82"/>
      <c r="AQ359" s="82"/>
      <c r="AR359" s="84"/>
      <c r="AS359" s="82"/>
      <c r="AT359" s="82"/>
      <c r="AU359" s="82"/>
    </row>
    <row r="360" spans="1:47" ht="15.75" customHeight="1">
      <c r="A360" s="82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  <c r="AD360" s="83"/>
      <c r="AE360" s="83"/>
      <c r="AF360" s="83"/>
      <c r="AG360" s="83"/>
      <c r="AH360" s="83"/>
      <c r="AI360" s="83"/>
      <c r="AJ360" s="83"/>
      <c r="AK360" s="83"/>
      <c r="AL360" s="84"/>
      <c r="AM360" s="84"/>
      <c r="AN360" s="84"/>
      <c r="AO360" s="82"/>
      <c r="AP360" s="82"/>
      <c r="AQ360" s="82"/>
      <c r="AR360" s="84"/>
      <c r="AS360" s="82"/>
      <c r="AT360" s="82"/>
      <c r="AU360" s="82"/>
    </row>
    <row r="361" spans="1:47" ht="15.75" customHeight="1">
      <c r="A361" s="82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  <c r="AD361" s="83"/>
      <c r="AE361" s="83"/>
      <c r="AF361" s="83"/>
      <c r="AG361" s="83"/>
      <c r="AH361" s="83"/>
      <c r="AI361" s="83"/>
      <c r="AJ361" s="83"/>
      <c r="AK361" s="83"/>
      <c r="AL361" s="84"/>
      <c r="AM361" s="84"/>
      <c r="AN361" s="84"/>
      <c r="AO361" s="82"/>
      <c r="AP361" s="82"/>
      <c r="AQ361" s="82"/>
      <c r="AR361" s="84"/>
      <c r="AS361" s="82"/>
      <c r="AT361" s="82"/>
      <c r="AU361" s="82"/>
    </row>
    <row r="362" spans="1:47" ht="15.75" customHeight="1">
      <c r="A362" s="82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  <c r="AD362" s="83"/>
      <c r="AE362" s="83"/>
      <c r="AF362" s="83"/>
      <c r="AG362" s="83"/>
      <c r="AH362" s="83"/>
      <c r="AI362" s="83"/>
      <c r="AJ362" s="83"/>
      <c r="AK362" s="83"/>
      <c r="AL362" s="84"/>
      <c r="AM362" s="84"/>
      <c r="AN362" s="84"/>
      <c r="AO362" s="82"/>
      <c r="AP362" s="82"/>
      <c r="AQ362" s="82"/>
      <c r="AR362" s="84"/>
      <c r="AS362" s="82"/>
      <c r="AT362" s="82"/>
      <c r="AU362" s="82"/>
    </row>
    <row r="363" spans="1:47" ht="15.75" customHeight="1">
      <c r="A363" s="82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  <c r="AD363" s="83"/>
      <c r="AE363" s="83"/>
      <c r="AF363" s="83"/>
      <c r="AG363" s="83"/>
      <c r="AH363" s="83"/>
      <c r="AI363" s="83"/>
      <c r="AJ363" s="83"/>
      <c r="AK363" s="83"/>
      <c r="AL363" s="84"/>
      <c r="AM363" s="84"/>
      <c r="AN363" s="84"/>
      <c r="AO363" s="82"/>
      <c r="AP363" s="82"/>
      <c r="AQ363" s="82"/>
      <c r="AR363" s="84"/>
      <c r="AS363" s="82"/>
      <c r="AT363" s="82"/>
      <c r="AU363" s="82"/>
    </row>
    <row r="364" spans="1:47" ht="15.75" customHeight="1">
      <c r="A364" s="82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  <c r="AD364" s="83"/>
      <c r="AE364" s="83"/>
      <c r="AF364" s="83"/>
      <c r="AG364" s="83"/>
      <c r="AH364" s="83"/>
      <c r="AI364" s="83"/>
      <c r="AJ364" s="83"/>
      <c r="AK364" s="83"/>
      <c r="AL364" s="84"/>
      <c r="AM364" s="84"/>
      <c r="AN364" s="84"/>
      <c r="AO364" s="82"/>
      <c r="AP364" s="82"/>
      <c r="AQ364" s="82"/>
      <c r="AR364" s="84"/>
      <c r="AS364" s="82"/>
      <c r="AT364" s="82"/>
      <c r="AU364" s="82"/>
    </row>
    <row r="365" spans="1:47" ht="15.75" customHeight="1">
      <c r="A365" s="82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  <c r="AD365" s="83"/>
      <c r="AE365" s="83"/>
      <c r="AF365" s="83"/>
      <c r="AG365" s="83"/>
      <c r="AH365" s="83"/>
      <c r="AI365" s="83"/>
      <c r="AJ365" s="83"/>
      <c r="AK365" s="83"/>
      <c r="AL365" s="84"/>
      <c r="AM365" s="84"/>
      <c r="AN365" s="84"/>
      <c r="AO365" s="82"/>
      <c r="AP365" s="82"/>
      <c r="AQ365" s="82"/>
      <c r="AR365" s="84"/>
      <c r="AS365" s="82"/>
      <c r="AT365" s="82"/>
      <c r="AU365" s="82"/>
    </row>
    <row r="366" spans="1:47" ht="15.75" customHeight="1">
      <c r="A366" s="82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  <c r="AD366" s="83"/>
      <c r="AE366" s="83"/>
      <c r="AF366" s="83"/>
      <c r="AG366" s="83"/>
      <c r="AH366" s="83"/>
      <c r="AI366" s="83"/>
      <c r="AJ366" s="83"/>
      <c r="AK366" s="83"/>
      <c r="AL366" s="84"/>
      <c r="AM366" s="84"/>
      <c r="AN366" s="84"/>
      <c r="AO366" s="82"/>
      <c r="AP366" s="82"/>
      <c r="AQ366" s="82"/>
      <c r="AR366" s="84"/>
      <c r="AS366" s="82"/>
      <c r="AT366" s="82"/>
      <c r="AU366" s="82"/>
    </row>
    <row r="367" spans="1:47" ht="15.75" customHeight="1">
      <c r="A367" s="82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  <c r="AD367" s="83"/>
      <c r="AE367" s="83"/>
      <c r="AF367" s="83"/>
      <c r="AG367" s="83"/>
      <c r="AH367" s="83"/>
      <c r="AI367" s="83"/>
      <c r="AJ367" s="83"/>
      <c r="AK367" s="83"/>
      <c r="AL367" s="84"/>
      <c r="AM367" s="84"/>
      <c r="AN367" s="84"/>
      <c r="AO367" s="82"/>
      <c r="AP367" s="82"/>
      <c r="AQ367" s="82"/>
      <c r="AR367" s="84"/>
      <c r="AS367" s="82"/>
      <c r="AT367" s="82"/>
      <c r="AU367" s="82"/>
    </row>
    <row r="368" spans="1:47" ht="15.75" customHeight="1">
      <c r="A368" s="82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  <c r="AD368" s="83"/>
      <c r="AE368" s="83"/>
      <c r="AF368" s="83"/>
      <c r="AG368" s="83"/>
      <c r="AH368" s="83"/>
      <c r="AI368" s="83"/>
      <c r="AJ368" s="83"/>
      <c r="AK368" s="83"/>
      <c r="AL368" s="84"/>
      <c r="AM368" s="84"/>
      <c r="AN368" s="84"/>
      <c r="AO368" s="82"/>
      <c r="AP368" s="82"/>
      <c r="AQ368" s="82"/>
      <c r="AR368" s="84"/>
      <c r="AS368" s="82"/>
      <c r="AT368" s="82"/>
      <c r="AU368" s="82"/>
    </row>
    <row r="369" spans="1:47" ht="15.75" customHeight="1">
      <c r="A369" s="82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  <c r="AD369" s="83"/>
      <c r="AE369" s="83"/>
      <c r="AF369" s="83"/>
      <c r="AG369" s="83"/>
      <c r="AH369" s="83"/>
      <c r="AI369" s="83"/>
      <c r="AJ369" s="83"/>
      <c r="AK369" s="83"/>
      <c r="AL369" s="84"/>
      <c r="AM369" s="84"/>
      <c r="AN369" s="84"/>
      <c r="AO369" s="82"/>
      <c r="AP369" s="82"/>
      <c r="AQ369" s="82"/>
      <c r="AR369" s="84"/>
      <c r="AS369" s="82"/>
      <c r="AT369" s="82"/>
      <c r="AU369" s="82"/>
    </row>
    <row r="370" spans="1:47" ht="15.75" customHeight="1">
      <c r="A370" s="82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  <c r="AD370" s="83"/>
      <c r="AE370" s="83"/>
      <c r="AF370" s="83"/>
      <c r="AG370" s="83"/>
      <c r="AH370" s="83"/>
      <c r="AI370" s="83"/>
      <c r="AJ370" s="83"/>
      <c r="AK370" s="83"/>
      <c r="AL370" s="84"/>
      <c r="AM370" s="84"/>
      <c r="AN370" s="84"/>
      <c r="AO370" s="82"/>
      <c r="AP370" s="82"/>
      <c r="AQ370" s="82"/>
      <c r="AR370" s="84"/>
      <c r="AS370" s="82"/>
      <c r="AT370" s="82"/>
      <c r="AU370" s="82"/>
    </row>
    <row r="371" spans="1:47" ht="15.75" customHeight="1">
      <c r="A371" s="82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  <c r="AD371" s="83"/>
      <c r="AE371" s="83"/>
      <c r="AF371" s="83"/>
      <c r="AG371" s="83"/>
      <c r="AH371" s="83"/>
      <c r="AI371" s="83"/>
      <c r="AJ371" s="83"/>
      <c r="AK371" s="83"/>
      <c r="AL371" s="84"/>
      <c r="AM371" s="84"/>
      <c r="AN371" s="84"/>
      <c r="AO371" s="82"/>
      <c r="AP371" s="82"/>
      <c r="AQ371" s="82"/>
      <c r="AR371" s="84"/>
      <c r="AS371" s="82"/>
      <c r="AT371" s="82"/>
      <c r="AU371" s="82"/>
    </row>
    <row r="372" spans="1:47" ht="15.75" customHeight="1">
      <c r="A372" s="82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  <c r="AD372" s="83"/>
      <c r="AE372" s="83"/>
      <c r="AF372" s="83"/>
      <c r="AG372" s="83"/>
      <c r="AH372" s="83"/>
      <c r="AI372" s="83"/>
      <c r="AJ372" s="83"/>
      <c r="AK372" s="83"/>
      <c r="AL372" s="84"/>
      <c r="AM372" s="84"/>
      <c r="AN372" s="84"/>
      <c r="AO372" s="82"/>
      <c r="AP372" s="82"/>
      <c r="AQ372" s="82"/>
      <c r="AR372" s="84"/>
      <c r="AS372" s="82"/>
      <c r="AT372" s="82"/>
      <c r="AU372" s="82"/>
    </row>
    <row r="373" spans="1:47" ht="15.75" customHeight="1">
      <c r="A373" s="82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  <c r="AD373" s="83"/>
      <c r="AE373" s="83"/>
      <c r="AF373" s="83"/>
      <c r="AG373" s="83"/>
      <c r="AH373" s="83"/>
      <c r="AI373" s="83"/>
      <c r="AJ373" s="83"/>
      <c r="AK373" s="83"/>
      <c r="AL373" s="84"/>
      <c r="AM373" s="84"/>
      <c r="AN373" s="84"/>
      <c r="AO373" s="82"/>
      <c r="AP373" s="82"/>
      <c r="AQ373" s="82"/>
      <c r="AR373" s="84"/>
      <c r="AS373" s="82"/>
      <c r="AT373" s="82"/>
      <c r="AU373" s="82"/>
    </row>
    <row r="374" spans="1:47" ht="15.75" customHeight="1">
      <c r="A374" s="82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  <c r="AD374" s="83"/>
      <c r="AE374" s="83"/>
      <c r="AF374" s="83"/>
      <c r="AG374" s="83"/>
      <c r="AH374" s="83"/>
      <c r="AI374" s="83"/>
      <c r="AJ374" s="83"/>
      <c r="AK374" s="83"/>
      <c r="AL374" s="84"/>
      <c r="AM374" s="84"/>
      <c r="AN374" s="84"/>
      <c r="AO374" s="82"/>
      <c r="AP374" s="82"/>
      <c r="AQ374" s="82"/>
      <c r="AR374" s="84"/>
      <c r="AS374" s="82"/>
      <c r="AT374" s="82"/>
      <c r="AU374" s="82"/>
    </row>
    <row r="375" spans="1:47" ht="15.75" customHeight="1">
      <c r="A375" s="82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83"/>
      <c r="AF375" s="83"/>
      <c r="AG375" s="83"/>
      <c r="AH375" s="83"/>
      <c r="AI375" s="83"/>
      <c r="AJ375" s="83"/>
      <c r="AK375" s="83"/>
      <c r="AL375" s="84"/>
      <c r="AM375" s="84"/>
      <c r="AN375" s="84"/>
      <c r="AO375" s="82"/>
      <c r="AP375" s="82"/>
      <c r="AQ375" s="82"/>
      <c r="AR375" s="84"/>
      <c r="AS375" s="82"/>
      <c r="AT375" s="82"/>
      <c r="AU375" s="82"/>
    </row>
    <row r="376" spans="1:47" ht="15.75" customHeight="1">
      <c r="A376" s="82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  <c r="AD376" s="83"/>
      <c r="AE376" s="83"/>
      <c r="AF376" s="83"/>
      <c r="AG376" s="83"/>
      <c r="AH376" s="83"/>
      <c r="AI376" s="83"/>
      <c r="AJ376" s="83"/>
      <c r="AK376" s="83"/>
      <c r="AL376" s="84"/>
      <c r="AM376" s="84"/>
      <c r="AN376" s="84"/>
      <c r="AO376" s="82"/>
      <c r="AP376" s="82"/>
      <c r="AQ376" s="82"/>
      <c r="AR376" s="84"/>
      <c r="AS376" s="82"/>
      <c r="AT376" s="82"/>
      <c r="AU376" s="82"/>
    </row>
    <row r="377" spans="1:47" ht="15.75" customHeight="1">
      <c r="A377" s="82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  <c r="AD377" s="83"/>
      <c r="AE377" s="83"/>
      <c r="AF377" s="83"/>
      <c r="AG377" s="83"/>
      <c r="AH377" s="83"/>
      <c r="AI377" s="83"/>
      <c r="AJ377" s="83"/>
      <c r="AK377" s="83"/>
      <c r="AL377" s="84"/>
      <c r="AM377" s="84"/>
      <c r="AN377" s="84"/>
      <c r="AO377" s="82"/>
      <c r="AP377" s="82"/>
      <c r="AQ377" s="82"/>
      <c r="AR377" s="84"/>
      <c r="AS377" s="82"/>
      <c r="AT377" s="82"/>
      <c r="AU377" s="82"/>
    </row>
    <row r="378" spans="1:47" ht="15.75" customHeight="1">
      <c r="A378" s="82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  <c r="AD378" s="83"/>
      <c r="AE378" s="83"/>
      <c r="AF378" s="83"/>
      <c r="AG378" s="83"/>
      <c r="AH378" s="83"/>
      <c r="AI378" s="83"/>
      <c r="AJ378" s="83"/>
      <c r="AK378" s="83"/>
      <c r="AL378" s="84"/>
      <c r="AM378" s="84"/>
      <c r="AN378" s="84"/>
      <c r="AO378" s="82"/>
      <c r="AP378" s="82"/>
      <c r="AQ378" s="82"/>
      <c r="AR378" s="84"/>
      <c r="AS378" s="82"/>
      <c r="AT378" s="82"/>
      <c r="AU378" s="82"/>
    </row>
    <row r="379" spans="1:47" ht="15.75" customHeight="1">
      <c r="A379" s="82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  <c r="AD379" s="83"/>
      <c r="AE379" s="83"/>
      <c r="AF379" s="83"/>
      <c r="AG379" s="83"/>
      <c r="AH379" s="83"/>
      <c r="AI379" s="83"/>
      <c r="AJ379" s="83"/>
      <c r="AK379" s="83"/>
      <c r="AL379" s="84"/>
      <c r="AM379" s="84"/>
      <c r="AN379" s="84"/>
      <c r="AO379" s="82"/>
      <c r="AP379" s="82"/>
      <c r="AQ379" s="82"/>
      <c r="AR379" s="84"/>
      <c r="AS379" s="82"/>
      <c r="AT379" s="82"/>
      <c r="AU379" s="82"/>
    </row>
    <row r="380" spans="1:47" ht="15.75" customHeight="1">
      <c r="A380" s="82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  <c r="AD380" s="83"/>
      <c r="AE380" s="83"/>
      <c r="AF380" s="83"/>
      <c r="AG380" s="83"/>
      <c r="AH380" s="83"/>
      <c r="AI380" s="83"/>
      <c r="AJ380" s="83"/>
      <c r="AK380" s="83"/>
      <c r="AL380" s="84"/>
      <c r="AM380" s="84"/>
      <c r="AN380" s="84"/>
      <c r="AO380" s="82"/>
      <c r="AP380" s="82"/>
      <c r="AQ380" s="82"/>
      <c r="AR380" s="84"/>
      <c r="AS380" s="82"/>
      <c r="AT380" s="82"/>
      <c r="AU380" s="82"/>
    </row>
    <row r="381" spans="1:47" ht="15.75" customHeight="1">
      <c r="A381" s="82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  <c r="AD381" s="83"/>
      <c r="AE381" s="83"/>
      <c r="AF381" s="83"/>
      <c r="AG381" s="83"/>
      <c r="AH381" s="83"/>
      <c r="AI381" s="83"/>
      <c r="AJ381" s="83"/>
      <c r="AK381" s="83"/>
      <c r="AL381" s="84"/>
      <c r="AM381" s="84"/>
      <c r="AN381" s="84"/>
      <c r="AO381" s="82"/>
      <c r="AP381" s="82"/>
      <c r="AQ381" s="82"/>
      <c r="AR381" s="84"/>
      <c r="AS381" s="82"/>
      <c r="AT381" s="82"/>
      <c r="AU381" s="82"/>
    </row>
    <row r="382" spans="1:47" ht="15.75" customHeight="1">
      <c r="A382" s="82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  <c r="AD382" s="83"/>
      <c r="AE382" s="83"/>
      <c r="AF382" s="83"/>
      <c r="AG382" s="83"/>
      <c r="AH382" s="83"/>
      <c r="AI382" s="83"/>
      <c r="AJ382" s="83"/>
      <c r="AK382" s="83"/>
      <c r="AL382" s="84"/>
      <c r="AM382" s="84"/>
      <c r="AN382" s="84"/>
      <c r="AO382" s="82"/>
      <c r="AP382" s="82"/>
      <c r="AQ382" s="82"/>
      <c r="AR382" s="84"/>
      <c r="AS382" s="82"/>
      <c r="AT382" s="82"/>
      <c r="AU382" s="82"/>
    </row>
    <row r="383" spans="1:47" ht="15.75" customHeight="1">
      <c r="A383" s="82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  <c r="AD383" s="83"/>
      <c r="AE383" s="83"/>
      <c r="AF383" s="83"/>
      <c r="AG383" s="83"/>
      <c r="AH383" s="83"/>
      <c r="AI383" s="83"/>
      <c r="AJ383" s="83"/>
      <c r="AK383" s="83"/>
      <c r="AL383" s="84"/>
      <c r="AM383" s="84"/>
      <c r="AN383" s="84"/>
      <c r="AO383" s="82"/>
      <c r="AP383" s="82"/>
      <c r="AQ383" s="82"/>
      <c r="AR383" s="84"/>
      <c r="AS383" s="82"/>
      <c r="AT383" s="82"/>
      <c r="AU383" s="82"/>
    </row>
    <row r="384" spans="1:47" ht="15.75" customHeight="1">
      <c r="A384" s="82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  <c r="AD384" s="83"/>
      <c r="AE384" s="83"/>
      <c r="AF384" s="83"/>
      <c r="AG384" s="83"/>
      <c r="AH384" s="83"/>
      <c r="AI384" s="83"/>
      <c r="AJ384" s="83"/>
      <c r="AK384" s="83"/>
      <c r="AL384" s="84"/>
      <c r="AM384" s="84"/>
      <c r="AN384" s="84"/>
      <c r="AO384" s="82"/>
      <c r="AP384" s="82"/>
      <c r="AQ384" s="82"/>
      <c r="AR384" s="84"/>
      <c r="AS384" s="82"/>
      <c r="AT384" s="82"/>
      <c r="AU384" s="82"/>
    </row>
    <row r="385" spans="1:47" ht="15.75" customHeight="1">
      <c r="A385" s="82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  <c r="AD385" s="83"/>
      <c r="AE385" s="83"/>
      <c r="AF385" s="83"/>
      <c r="AG385" s="83"/>
      <c r="AH385" s="83"/>
      <c r="AI385" s="83"/>
      <c r="AJ385" s="83"/>
      <c r="AK385" s="83"/>
      <c r="AL385" s="84"/>
      <c r="AM385" s="84"/>
      <c r="AN385" s="84"/>
      <c r="AO385" s="82"/>
      <c r="AP385" s="82"/>
      <c r="AQ385" s="82"/>
      <c r="AR385" s="84"/>
      <c r="AS385" s="82"/>
      <c r="AT385" s="82"/>
      <c r="AU385" s="82"/>
    </row>
    <row r="386" spans="1:47" ht="15.75" customHeight="1">
      <c r="A386" s="82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  <c r="AD386" s="83"/>
      <c r="AE386" s="83"/>
      <c r="AF386" s="83"/>
      <c r="AG386" s="83"/>
      <c r="AH386" s="83"/>
      <c r="AI386" s="83"/>
      <c r="AJ386" s="83"/>
      <c r="AK386" s="83"/>
      <c r="AL386" s="84"/>
      <c r="AM386" s="84"/>
      <c r="AN386" s="84"/>
      <c r="AO386" s="82"/>
      <c r="AP386" s="82"/>
      <c r="AQ386" s="82"/>
      <c r="AR386" s="84"/>
      <c r="AS386" s="82"/>
      <c r="AT386" s="82"/>
      <c r="AU386" s="82"/>
    </row>
    <row r="387" spans="1:47" ht="15.75" customHeight="1">
      <c r="A387" s="82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  <c r="AD387" s="83"/>
      <c r="AE387" s="83"/>
      <c r="AF387" s="83"/>
      <c r="AG387" s="83"/>
      <c r="AH387" s="83"/>
      <c r="AI387" s="83"/>
      <c r="AJ387" s="83"/>
      <c r="AK387" s="83"/>
      <c r="AL387" s="84"/>
      <c r="AM387" s="84"/>
      <c r="AN387" s="84"/>
      <c r="AO387" s="82"/>
      <c r="AP387" s="82"/>
      <c r="AQ387" s="82"/>
      <c r="AR387" s="84"/>
      <c r="AS387" s="82"/>
      <c r="AT387" s="82"/>
      <c r="AU387" s="82"/>
    </row>
    <row r="388" spans="1:47" ht="15.75" customHeight="1">
      <c r="A388" s="82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  <c r="AD388" s="83"/>
      <c r="AE388" s="83"/>
      <c r="AF388" s="83"/>
      <c r="AG388" s="83"/>
      <c r="AH388" s="83"/>
      <c r="AI388" s="83"/>
      <c r="AJ388" s="83"/>
      <c r="AK388" s="83"/>
      <c r="AL388" s="84"/>
      <c r="AM388" s="84"/>
      <c r="AN388" s="84"/>
      <c r="AO388" s="82"/>
      <c r="AP388" s="82"/>
      <c r="AQ388" s="82"/>
      <c r="AR388" s="84"/>
      <c r="AS388" s="82"/>
      <c r="AT388" s="82"/>
      <c r="AU388" s="82"/>
    </row>
    <row r="389" spans="1:47" ht="15.75" customHeight="1">
      <c r="A389" s="82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  <c r="AD389" s="83"/>
      <c r="AE389" s="83"/>
      <c r="AF389" s="83"/>
      <c r="AG389" s="83"/>
      <c r="AH389" s="83"/>
      <c r="AI389" s="83"/>
      <c r="AJ389" s="83"/>
      <c r="AK389" s="83"/>
      <c r="AL389" s="84"/>
      <c r="AM389" s="84"/>
      <c r="AN389" s="84"/>
      <c r="AO389" s="82"/>
      <c r="AP389" s="82"/>
      <c r="AQ389" s="82"/>
      <c r="AR389" s="84"/>
      <c r="AS389" s="82"/>
      <c r="AT389" s="82"/>
      <c r="AU389" s="82"/>
    </row>
    <row r="390" spans="1:47" ht="15.75" customHeight="1">
      <c r="A390" s="82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  <c r="AD390" s="83"/>
      <c r="AE390" s="83"/>
      <c r="AF390" s="83"/>
      <c r="AG390" s="83"/>
      <c r="AH390" s="83"/>
      <c r="AI390" s="83"/>
      <c r="AJ390" s="83"/>
      <c r="AK390" s="83"/>
      <c r="AL390" s="84"/>
      <c r="AM390" s="84"/>
      <c r="AN390" s="84"/>
      <c r="AO390" s="82"/>
      <c r="AP390" s="82"/>
      <c r="AQ390" s="82"/>
      <c r="AR390" s="84"/>
      <c r="AS390" s="82"/>
      <c r="AT390" s="82"/>
      <c r="AU390" s="82"/>
    </row>
    <row r="391" spans="1:47" ht="15.75" customHeight="1">
      <c r="A391" s="82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  <c r="AD391" s="83"/>
      <c r="AE391" s="83"/>
      <c r="AF391" s="83"/>
      <c r="AG391" s="83"/>
      <c r="AH391" s="83"/>
      <c r="AI391" s="83"/>
      <c r="AJ391" s="83"/>
      <c r="AK391" s="83"/>
      <c r="AL391" s="84"/>
      <c r="AM391" s="84"/>
      <c r="AN391" s="84"/>
      <c r="AO391" s="82"/>
      <c r="AP391" s="82"/>
      <c r="AQ391" s="82"/>
      <c r="AR391" s="84"/>
      <c r="AS391" s="82"/>
      <c r="AT391" s="82"/>
      <c r="AU391" s="82"/>
    </row>
    <row r="392" spans="1:47" ht="15.75" customHeight="1">
      <c r="A392" s="82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  <c r="AD392" s="83"/>
      <c r="AE392" s="83"/>
      <c r="AF392" s="83"/>
      <c r="AG392" s="83"/>
      <c r="AH392" s="83"/>
      <c r="AI392" s="83"/>
      <c r="AJ392" s="83"/>
      <c r="AK392" s="83"/>
      <c r="AL392" s="84"/>
      <c r="AM392" s="84"/>
      <c r="AN392" s="84"/>
      <c r="AO392" s="82"/>
      <c r="AP392" s="82"/>
      <c r="AQ392" s="82"/>
      <c r="AR392" s="84"/>
      <c r="AS392" s="82"/>
      <c r="AT392" s="82"/>
      <c r="AU392" s="82"/>
    </row>
    <row r="393" spans="1:47" ht="15.75" customHeight="1">
      <c r="A393" s="82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  <c r="AD393" s="83"/>
      <c r="AE393" s="83"/>
      <c r="AF393" s="83"/>
      <c r="AG393" s="83"/>
      <c r="AH393" s="83"/>
      <c r="AI393" s="83"/>
      <c r="AJ393" s="83"/>
      <c r="AK393" s="83"/>
      <c r="AL393" s="84"/>
      <c r="AM393" s="84"/>
      <c r="AN393" s="84"/>
      <c r="AO393" s="82"/>
      <c r="AP393" s="82"/>
      <c r="AQ393" s="82"/>
      <c r="AR393" s="84"/>
      <c r="AS393" s="82"/>
      <c r="AT393" s="82"/>
      <c r="AU393" s="82"/>
    </row>
    <row r="394" spans="1:47" ht="15.75" customHeight="1">
      <c r="A394" s="82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  <c r="AD394" s="83"/>
      <c r="AE394" s="83"/>
      <c r="AF394" s="83"/>
      <c r="AG394" s="83"/>
      <c r="AH394" s="83"/>
      <c r="AI394" s="83"/>
      <c r="AJ394" s="83"/>
      <c r="AK394" s="83"/>
      <c r="AL394" s="84"/>
      <c r="AM394" s="84"/>
      <c r="AN394" s="84"/>
      <c r="AO394" s="82"/>
      <c r="AP394" s="82"/>
      <c r="AQ394" s="82"/>
      <c r="AR394" s="84"/>
      <c r="AS394" s="82"/>
      <c r="AT394" s="82"/>
      <c r="AU394" s="82"/>
    </row>
    <row r="395" spans="1:47" ht="15.75" customHeight="1">
      <c r="A395" s="82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  <c r="AD395" s="83"/>
      <c r="AE395" s="83"/>
      <c r="AF395" s="83"/>
      <c r="AG395" s="83"/>
      <c r="AH395" s="83"/>
      <c r="AI395" s="83"/>
      <c r="AJ395" s="83"/>
      <c r="AK395" s="83"/>
      <c r="AL395" s="84"/>
      <c r="AM395" s="84"/>
      <c r="AN395" s="84"/>
      <c r="AO395" s="82"/>
      <c r="AP395" s="82"/>
      <c r="AQ395" s="82"/>
      <c r="AR395" s="84"/>
      <c r="AS395" s="82"/>
      <c r="AT395" s="82"/>
      <c r="AU395" s="82"/>
    </row>
    <row r="396" spans="1:47" ht="15.75" customHeight="1">
      <c r="A396" s="82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  <c r="AD396" s="83"/>
      <c r="AE396" s="83"/>
      <c r="AF396" s="83"/>
      <c r="AG396" s="83"/>
      <c r="AH396" s="83"/>
      <c r="AI396" s="83"/>
      <c r="AJ396" s="83"/>
      <c r="AK396" s="83"/>
      <c r="AL396" s="84"/>
      <c r="AM396" s="84"/>
      <c r="AN396" s="84"/>
      <c r="AO396" s="82"/>
      <c r="AP396" s="82"/>
      <c r="AQ396" s="82"/>
      <c r="AR396" s="84"/>
      <c r="AS396" s="82"/>
      <c r="AT396" s="82"/>
      <c r="AU396" s="82"/>
    </row>
    <row r="397" spans="1:47" ht="15.75" customHeight="1">
      <c r="A397" s="82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  <c r="AD397" s="83"/>
      <c r="AE397" s="83"/>
      <c r="AF397" s="83"/>
      <c r="AG397" s="83"/>
      <c r="AH397" s="83"/>
      <c r="AI397" s="83"/>
      <c r="AJ397" s="83"/>
      <c r="AK397" s="83"/>
      <c r="AL397" s="84"/>
      <c r="AM397" s="84"/>
      <c r="AN397" s="84"/>
      <c r="AO397" s="82"/>
      <c r="AP397" s="82"/>
      <c r="AQ397" s="82"/>
      <c r="AR397" s="84"/>
      <c r="AS397" s="82"/>
      <c r="AT397" s="82"/>
      <c r="AU397" s="82"/>
    </row>
    <row r="398" spans="1:47" ht="15.75" customHeight="1">
      <c r="A398" s="82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  <c r="AD398" s="83"/>
      <c r="AE398" s="83"/>
      <c r="AF398" s="83"/>
      <c r="AG398" s="83"/>
      <c r="AH398" s="83"/>
      <c r="AI398" s="83"/>
      <c r="AJ398" s="83"/>
      <c r="AK398" s="83"/>
      <c r="AL398" s="84"/>
      <c r="AM398" s="84"/>
      <c r="AN398" s="84"/>
      <c r="AO398" s="82"/>
      <c r="AP398" s="82"/>
      <c r="AQ398" s="82"/>
      <c r="AR398" s="84"/>
      <c r="AS398" s="82"/>
      <c r="AT398" s="82"/>
      <c r="AU398" s="82"/>
    </row>
    <row r="399" spans="1:47" ht="15.75" customHeight="1">
      <c r="A399" s="82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  <c r="AD399" s="83"/>
      <c r="AE399" s="83"/>
      <c r="AF399" s="83"/>
      <c r="AG399" s="83"/>
      <c r="AH399" s="83"/>
      <c r="AI399" s="83"/>
      <c r="AJ399" s="83"/>
      <c r="AK399" s="83"/>
      <c r="AL399" s="84"/>
      <c r="AM399" s="84"/>
      <c r="AN399" s="84"/>
      <c r="AO399" s="82"/>
      <c r="AP399" s="82"/>
      <c r="AQ399" s="82"/>
      <c r="AR399" s="84"/>
      <c r="AS399" s="82"/>
      <c r="AT399" s="82"/>
      <c r="AU399" s="82"/>
    </row>
    <row r="400" spans="1:47" ht="15.75" customHeight="1">
      <c r="A400" s="82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  <c r="AD400" s="83"/>
      <c r="AE400" s="83"/>
      <c r="AF400" s="83"/>
      <c r="AG400" s="83"/>
      <c r="AH400" s="83"/>
      <c r="AI400" s="83"/>
      <c r="AJ400" s="83"/>
      <c r="AK400" s="83"/>
      <c r="AL400" s="84"/>
      <c r="AM400" s="84"/>
      <c r="AN400" s="84"/>
      <c r="AO400" s="82"/>
      <c r="AP400" s="82"/>
      <c r="AQ400" s="82"/>
      <c r="AR400" s="84"/>
      <c r="AS400" s="82"/>
      <c r="AT400" s="82"/>
      <c r="AU400" s="82"/>
    </row>
    <row r="401" spans="1:47" ht="15.75" customHeight="1">
      <c r="A401" s="82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  <c r="AD401" s="83"/>
      <c r="AE401" s="83"/>
      <c r="AF401" s="83"/>
      <c r="AG401" s="83"/>
      <c r="AH401" s="83"/>
      <c r="AI401" s="83"/>
      <c r="AJ401" s="83"/>
      <c r="AK401" s="83"/>
      <c r="AL401" s="84"/>
      <c r="AM401" s="84"/>
      <c r="AN401" s="84"/>
      <c r="AO401" s="82"/>
      <c r="AP401" s="82"/>
      <c r="AQ401" s="82"/>
      <c r="AR401" s="84"/>
      <c r="AS401" s="82"/>
      <c r="AT401" s="82"/>
      <c r="AU401" s="82"/>
    </row>
    <row r="402" spans="1:47" ht="15.75" customHeight="1">
      <c r="A402" s="82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  <c r="AD402" s="83"/>
      <c r="AE402" s="83"/>
      <c r="AF402" s="83"/>
      <c r="AG402" s="83"/>
      <c r="AH402" s="83"/>
      <c r="AI402" s="83"/>
      <c r="AJ402" s="83"/>
      <c r="AK402" s="83"/>
      <c r="AL402" s="84"/>
      <c r="AM402" s="84"/>
      <c r="AN402" s="84"/>
      <c r="AO402" s="82"/>
      <c r="AP402" s="82"/>
      <c r="AQ402" s="82"/>
      <c r="AR402" s="84"/>
      <c r="AS402" s="82"/>
      <c r="AT402" s="82"/>
      <c r="AU402" s="82"/>
    </row>
    <row r="403" spans="1:47" ht="15.75" customHeight="1">
      <c r="A403" s="82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  <c r="AD403" s="83"/>
      <c r="AE403" s="83"/>
      <c r="AF403" s="83"/>
      <c r="AG403" s="83"/>
      <c r="AH403" s="83"/>
      <c r="AI403" s="83"/>
      <c r="AJ403" s="83"/>
      <c r="AK403" s="83"/>
      <c r="AL403" s="84"/>
      <c r="AM403" s="84"/>
      <c r="AN403" s="84"/>
      <c r="AO403" s="82"/>
      <c r="AP403" s="82"/>
      <c r="AQ403" s="82"/>
      <c r="AR403" s="84"/>
      <c r="AS403" s="82"/>
      <c r="AT403" s="82"/>
      <c r="AU403" s="82"/>
    </row>
    <row r="404" spans="1:47" ht="15.75" customHeight="1">
      <c r="A404" s="82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  <c r="AD404" s="83"/>
      <c r="AE404" s="83"/>
      <c r="AF404" s="83"/>
      <c r="AG404" s="83"/>
      <c r="AH404" s="83"/>
      <c r="AI404" s="83"/>
      <c r="AJ404" s="83"/>
      <c r="AK404" s="83"/>
      <c r="AL404" s="84"/>
      <c r="AM404" s="84"/>
      <c r="AN404" s="84"/>
      <c r="AO404" s="82"/>
      <c r="AP404" s="82"/>
      <c r="AQ404" s="82"/>
      <c r="AR404" s="84"/>
      <c r="AS404" s="82"/>
      <c r="AT404" s="82"/>
      <c r="AU404" s="82"/>
    </row>
    <row r="405" spans="1:47" ht="15.75" customHeight="1">
      <c r="A405" s="82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  <c r="AD405" s="83"/>
      <c r="AE405" s="83"/>
      <c r="AF405" s="83"/>
      <c r="AG405" s="83"/>
      <c r="AH405" s="83"/>
      <c r="AI405" s="83"/>
      <c r="AJ405" s="83"/>
      <c r="AK405" s="83"/>
      <c r="AL405" s="84"/>
      <c r="AM405" s="84"/>
      <c r="AN405" s="84"/>
      <c r="AO405" s="82"/>
      <c r="AP405" s="82"/>
      <c r="AQ405" s="82"/>
      <c r="AR405" s="84"/>
      <c r="AS405" s="82"/>
      <c r="AT405" s="82"/>
      <c r="AU405" s="82"/>
    </row>
    <row r="406" spans="1:47" ht="15.75" customHeight="1">
      <c r="A406" s="82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  <c r="AD406" s="83"/>
      <c r="AE406" s="83"/>
      <c r="AF406" s="83"/>
      <c r="AG406" s="83"/>
      <c r="AH406" s="83"/>
      <c r="AI406" s="83"/>
      <c r="AJ406" s="83"/>
      <c r="AK406" s="83"/>
      <c r="AL406" s="84"/>
      <c r="AM406" s="84"/>
      <c r="AN406" s="84"/>
      <c r="AO406" s="82"/>
      <c r="AP406" s="82"/>
      <c r="AQ406" s="82"/>
      <c r="AR406" s="84"/>
      <c r="AS406" s="82"/>
      <c r="AT406" s="82"/>
      <c r="AU406" s="82"/>
    </row>
    <row r="407" spans="1:47" ht="15.75" customHeight="1">
      <c r="A407" s="82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  <c r="AD407" s="83"/>
      <c r="AE407" s="83"/>
      <c r="AF407" s="83"/>
      <c r="AG407" s="83"/>
      <c r="AH407" s="83"/>
      <c r="AI407" s="83"/>
      <c r="AJ407" s="83"/>
      <c r="AK407" s="83"/>
      <c r="AL407" s="84"/>
      <c r="AM407" s="84"/>
      <c r="AN407" s="84"/>
      <c r="AO407" s="82"/>
      <c r="AP407" s="82"/>
      <c r="AQ407" s="82"/>
      <c r="AR407" s="84"/>
      <c r="AS407" s="82"/>
      <c r="AT407" s="82"/>
      <c r="AU407" s="82"/>
    </row>
    <row r="408" spans="1:47" ht="15.75" customHeight="1">
      <c r="A408" s="82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  <c r="AD408" s="83"/>
      <c r="AE408" s="83"/>
      <c r="AF408" s="83"/>
      <c r="AG408" s="83"/>
      <c r="AH408" s="83"/>
      <c r="AI408" s="83"/>
      <c r="AJ408" s="83"/>
      <c r="AK408" s="83"/>
      <c r="AL408" s="84"/>
      <c r="AM408" s="84"/>
      <c r="AN408" s="84"/>
      <c r="AO408" s="82"/>
      <c r="AP408" s="82"/>
      <c r="AQ408" s="82"/>
      <c r="AR408" s="84"/>
      <c r="AS408" s="82"/>
      <c r="AT408" s="82"/>
      <c r="AU408" s="82"/>
    </row>
    <row r="409" spans="1:47" ht="15.75" customHeight="1">
      <c r="A409" s="82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  <c r="AD409" s="83"/>
      <c r="AE409" s="83"/>
      <c r="AF409" s="83"/>
      <c r="AG409" s="83"/>
      <c r="AH409" s="83"/>
      <c r="AI409" s="83"/>
      <c r="AJ409" s="83"/>
      <c r="AK409" s="83"/>
      <c r="AL409" s="84"/>
      <c r="AM409" s="84"/>
      <c r="AN409" s="84"/>
      <c r="AO409" s="82"/>
      <c r="AP409" s="82"/>
      <c r="AQ409" s="82"/>
      <c r="AR409" s="84"/>
      <c r="AS409" s="82"/>
      <c r="AT409" s="82"/>
      <c r="AU409" s="82"/>
    </row>
    <row r="410" spans="1:47" ht="15.75" customHeight="1">
      <c r="A410" s="82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  <c r="AD410" s="83"/>
      <c r="AE410" s="83"/>
      <c r="AF410" s="83"/>
      <c r="AG410" s="83"/>
      <c r="AH410" s="83"/>
      <c r="AI410" s="83"/>
      <c r="AJ410" s="83"/>
      <c r="AK410" s="83"/>
      <c r="AL410" s="84"/>
      <c r="AM410" s="84"/>
      <c r="AN410" s="84"/>
      <c r="AO410" s="82"/>
      <c r="AP410" s="82"/>
      <c r="AQ410" s="82"/>
      <c r="AR410" s="84"/>
      <c r="AS410" s="82"/>
      <c r="AT410" s="82"/>
      <c r="AU410" s="82"/>
    </row>
    <row r="411" spans="1:47" ht="15.75" customHeight="1">
      <c r="A411" s="82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  <c r="AD411" s="83"/>
      <c r="AE411" s="83"/>
      <c r="AF411" s="83"/>
      <c r="AG411" s="83"/>
      <c r="AH411" s="83"/>
      <c r="AI411" s="83"/>
      <c r="AJ411" s="83"/>
      <c r="AK411" s="83"/>
      <c r="AL411" s="84"/>
      <c r="AM411" s="84"/>
      <c r="AN411" s="84"/>
      <c r="AO411" s="82"/>
      <c r="AP411" s="82"/>
      <c r="AQ411" s="82"/>
      <c r="AR411" s="84"/>
      <c r="AS411" s="82"/>
      <c r="AT411" s="82"/>
      <c r="AU411" s="82"/>
    </row>
    <row r="412" spans="1:47" ht="15.75" customHeight="1">
      <c r="A412" s="82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  <c r="AD412" s="83"/>
      <c r="AE412" s="83"/>
      <c r="AF412" s="83"/>
      <c r="AG412" s="83"/>
      <c r="AH412" s="83"/>
      <c r="AI412" s="83"/>
      <c r="AJ412" s="83"/>
      <c r="AK412" s="83"/>
      <c r="AL412" s="84"/>
      <c r="AM412" s="84"/>
      <c r="AN412" s="84"/>
      <c r="AO412" s="82"/>
      <c r="AP412" s="82"/>
      <c r="AQ412" s="82"/>
      <c r="AR412" s="84"/>
      <c r="AS412" s="82"/>
      <c r="AT412" s="82"/>
      <c r="AU412" s="82"/>
    </row>
    <row r="413" spans="1:47" ht="15.75" customHeight="1">
      <c r="A413" s="82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  <c r="AD413" s="83"/>
      <c r="AE413" s="83"/>
      <c r="AF413" s="83"/>
      <c r="AG413" s="83"/>
      <c r="AH413" s="83"/>
      <c r="AI413" s="83"/>
      <c r="AJ413" s="83"/>
      <c r="AK413" s="83"/>
      <c r="AL413" s="84"/>
      <c r="AM413" s="84"/>
      <c r="AN413" s="84"/>
      <c r="AO413" s="82"/>
      <c r="AP413" s="82"/>
      <c r="AQ413" s="82"/>
      <c r="AR413" s="84"/>
      <c r="AS413" s="82"/>
      <c r="AT413" s="82"/>
      <c r="AU413" s="82"/>
    </row>
    <row r="414" spans="1:47" ht="15.75" customHeight="1">
      <c r="A414" s="82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  <c r="AD414" s="83"/>
      <c r="AE414" s="83"/>
      <c r="AF414" s="83"/>
      <c r="AG414" s="83"/>
      <c r="AH414" s="83"/>
      <c r="AI414" s="83"/>
      <c r="AJ414" s="83"/>
      <c r="AK414" s="83"/>
      <c r="AL414" s="84"/>
      <c r="AM414" s="84"/>
      <c r="AN414" s="84"/>
      <c r="AO414" s="82"/>
      <c r="AP414" s="82"/>
      <c r="AQ414" s="82"/>
      <c r="AR414" s="84"/>
      <c r="AS414" s="82"/>
      <c r="AT414" s="82"/>
      <c r="AU414" s="82"/>
    </row>
    <row r="415" spans="1:47" ht="15.75" customHeight="1">
      <c r="A415" s="82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  <c r="AD415" s="83"/>
      <c r="AE415" s="83"/>
      <c r="AF415" s="83"/>
      <c r="AG415" s="83"/>
      <c r="AH415" s="83"/>
      <c r="AI415" s="83"/>
      <c r="AJ415" s="83"/>
      <c r="AK415" s="83"/>
      <c r="AL415" s="84"/>
      <c r="AM415" s="84"/>
      <c r="AN415" s="84"/>
      <c r="AO415" s="82"/>
      <c r="AP415" s="82"/>
      <c r="AQ415" s="82"/>
      <c r="AR415" s="84"/>
      <c r="AS415" s="82"/>
      <c r="AT415" s="82"/>
      <c r="AU415" s="82"/>
    </row>
    <row r="416" spans="1:47" ht="15.75" customHeight="1">
      <c r="A416" s="82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  <c r="AD416" s="83"/>
      <c r="AE416" s="83"/>
      <c r="AF416" s="83"/>
      <c r="AG416" s="83"/>
      <c r="AH416" s="83"/>
      <c r="AI416" s="83"/>
      <c r="AJ416" s="83"/>
      <c r="AK416" s="83"/>
      <c r="AL416" s="84"/>
      <c r="AM416" s="84"/>
      <c r="AN416" s="84"/>
      <c r="AO416" s="82"/>
      <c r="AP416" s="82"/>
      <c r="AQ416" s="82"/>
      <c r="AR416" s="84"/>
      <c r="AS416" s="82"/>
      <c r="AT416" s="82"/>
      <c r="AU416" s="82"/>
    </row>
    <row r="417" spans="1:47" ht="15.75" customHeight="1">
      <c r="A417" s="82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  <c r="AD417" s="83"/>
      <c r="AE417" s="83"/>
      <c r="AF417" s="83"/>
      <c r="AG417" s="83"/>
      <c r="AH417" s="83"/>
      <c r="AI417" s="83"/>
      <c r="AJ417" s="83"/>
      <c r="AK417" s="83"/>
      <c r="AL417" s="84"/>
      <c r="AM417" s="84"/>
      <c r="AN417" s="84"/>
      <c r="AO417" s="82"/>
      <c r="AP417" s="82"/>
      <c r="AQ417" s="82"/>
      <c r="AR417" s="84"/>
      <c r="AS417" s="82"/>
      <c r="AT417" s="82"/>
      <c r="AU417" s="82"/>
    </row>
    <row r="418" spans="1:47" ht="15.75" customHeight="1">
      <c r="A418" s="82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  <c r="AD418" s="83"/>
      <c r="AE418" s="83"/>
      <c r="AF418" s="83"/>
      <c r="AG418" s="83"/>
      <c r="AH418" s="83"/>
      <c r="AI418" s="83"/>
      <c r="AJ418" s="83"/>
      <c r="AK418" s="83"/>
      <c r="AL418" s="84"/>
      <c r="AM418" s="84"/>
      <c r="AN418" s="84"/>
      <c r="AO418" s="82"/>
      <c r="AP418" s="82"/>
      <c r="AQ418" s="82"/>
      <c r="AR418" s="84"/>
      <c r="AS418" s="82"/>
      <c r="AT418" s="82"/>
      <c r="AU418" s="82"/>
    </row>
    <row r="419" spans="1:47" ht="15.75" customHeight="1">
      <c r="A419" s="82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  <c r="AD419" s="83"/>
      <c r="AE419" s="83"/>
      <c r="AF419" s="83"/>
      <c r="AG419" s="83"/>
      <c r="AH419" s="83"/>
      <c r="AI419" s="83"/>
      <c r="AJ419" s="83"/>
      <c r="AK419" s="83"/>
      <c r="AL419" s="84"/>
      <c r="AM419" s="84"/>
      <c r="AN419" s="84"/>
      <c r="AO419" s="82"/>
      <c r="AP419" s="82"/>
      <c r="AQ419" s="82"/>
      <c r="AR419" s="84"/>
      <c r="AS419" s="82"/>
      <c r="AT419" s="82"/>
      <c r="AU419" s="82"/>
    </row>
    <row r="420" spans="1:47" ht="15.75" customHeight="1">
      <c r="A420" s="82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  <c r="AD420" s="83"/>
      <c r="AE420" s="83"/>
      <c r="AF420" s="83"/>
      <c r="AG420" s="83"/>
      <c r="AH420" s="83"/>
      <c r="AI420" s="83"/>
      <c r="AJ420" s="83"/>
      <c r="AK420" s="83"/>
      <c r="AL420" s="84"/>
      <c r="AM420" s="84"/>
      <c r="AN420" s="84"/>
      <c r="AO420" s="82"/>
      <c r="AP420" s="82"/>
      <c r="AQ420" s="82"/>
      <c r="AR420" s="84"/>
      <c r="AS420" s="82"/>
      <c r="AT420" s="82"/>
      <c r="AU420" s="82"/>
    </row>
    <row r="421" spans="1:47" ht="15.75" customHeight="1">
      <c r="A421" s="82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  <c r="AD421" s="83"/>
      <c r="AE421" s="83"/>
      <c r="AF421" s="83"/>
      <c r="AG421" s="83"/>
      <c r="AH421" s="83"/>
      <c r="AI421" s="83"/>
      <c r="AJ421" s="83"/>
      <c r="AK421" s="83"/>
      <c r="AL421" s="84"/>
      <c r="AM421" s="84"/>
      <c r="AN421" s="84"/>
      <c r="AO421" s="82"/>
      <c r="AP421" s="82"/>
      <c r="AQ421" s="82"/>
      <c r="AR421" s="84"/>
      <c r="AS421" s="82"/>
      <c r="AT421" s="82"/>
      <c r="AU421" s="82"/>
    </row>
    <row r="422" spans="1:47" ht="15.75" customHeight="1">
      <c r="A422" s="82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  <c r="AD422" s="83"/>
      <c r="AE422" s="83"/>
      <c r="AF422" s="83"/>
      <c r="AG422" s="83"/>
      <c r="AH422" s="83"/>
      <c r="AI422" s="83"/>
      <c r="AJ422" s="83"/>
      <c r="AK422" s="83"/>
      <c r="AL422" s="84"/>
      <c r="AM422" s="84"/>
      <c r="AN422" s="84"/>
      <c r="AO422" s="82"/>
      <c r="AP422" s="82"/>
      <c r="AQ422" s="82"/>
      <c r="AR422" s="84"/>
      <c r="AS422" s="82"/>
      <c r="AT422" s="82"/>
      <c r="AU422" s="82"/>
    </row>
    <row r="423" spans="1:47" ht="15.75" customHeight="1">
      <c r="A423" s="82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  <c r="AD423" s="83"/>
      <c r="AE423" s="83"/>
      <c r="AF423" s="83"/>
      <c r="AG423" s="83"/>
      <c r="AH423" s="83"/>
      <c r="AI423" s="83"/>
      <c r="AJ423" s="83"/>
      <c r="AK423" s="83"/>
      <c r="AL423" s="84"/>
      <c r="AM423" s="84"/>
      <c r="AN423" s="84"/>
      <c r="AO423" s="82"/>
      <c r="AP423" s="82"/>
      <c r="AQ423" s="82"/>
      <c r="AR423" s="84"/>
      <c r="AS423" s="82"/>
      <c r="AT423" s="82"/>
      <c r="AU423" s="82"/>
    </row>
    <row r="424" spans="1:47" ht="15.75" customHeight="1">
      <c r="A424" s="82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  <c r="AD424" s="83"/>
      <c r="AE424" s="83"/>
      <c r="AF424" s="83"/>
      <c r="AG424" s="83"/>
      <c r="AH424" s="83"/>
      <c r="AI424" s="83"/>
      <c r="AJ424" s="83"/>
      <c r="AK424" s="83"/>
      <c r="AL424" s="84"/>
      <c r="AM424" s="84"/>
      <c r="AN424" s="84"/>
      <c r="AO424" s="82"/>
      <c r="AP424" s="82"/>
      <c r="AQ424" s="82"/>
      <c r="AR424" s="84"/>
      <c r="AS424" s="82"/>
      <c r="AT424" s="82"/>
      <c r="AU424" s="82"/>
    </row>
    <row r="425" spans="1:47" ht="15.75" customHeight="1">
      <c r="A425" s="82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  <c r="AD425" s="83"/>
      <c r="AE425" s="83"/>
      <c r="AF425" s="83"/>
      <c r="AG425" s="83"/>
      <c r="AH425" s="83"/>
      <c r="AI425" s="83"/>
      <c r="AJ425" s="83"/>
      <c r="AK425" s="83"/>
      <c r="AL425" s="84"/>
      <c r="AM425" s="84"/>
      <c r="AN425" s="84"/>
      <c r="AO425" s="82"/>
      <c r="AP425" s="82"/>
      <c r="AQ425" s="82"/>
      <c r="AR425" s="84"/>
      <c r="AS425" s="82"/>
      <c r="AT425" s="82"/>
      <c r="AU425" s="82"/>
    </row>
    <row r="426" spans="1:47" ht="15.75" customHeight="1">
      <c r="A426" s="82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  <c r="AD426" s="83"/>
      <c r="AE426" s="83"/>
      <c r="AF426" s="83"/>
      <c r="AG426" s="83"/>
      <c r="AH426" s="83"/>
      <c r="AI426" s="83"/>
      <c r="AJ426" s="83"/>
      <c r="AK426" s="83"/>
      <c r="AL426" s="84"/>
      <c r="AM426" s="84"/>
      <c r="AN426" s="84"/>
      <c r="AO426" s="82"/>
      <c r="AP426" s="82"/>
      <c r="AQ426" s="82"/>
      <c r="AR426" s="84"/>
      <c r="AS426" s="82"/>
      <c r="AT426" s="82"/>
      <c r="AU426" s="82"/>
    </row>
    <row r="427" spans="1:47" ht="15.75" customHeight="1">
      <c r="A427" s="82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83"/>
      <c r="AF427" s="83"/>
      <c r="AG427" s="83"/>
      <c r="AH427" s="83"/>
      <c r="AI427" s="83"/>
      <c r="AJ427" s="83"/>
      <c r="AK427" s="83"/>
      <c r="AL427" s="84"/>
      <c r="AM427" s="84"/>
      <c r="AN427" s="84"/>
      <c r="AO427" s="82"/>
      <c r="AP427" s="82"/>
      <c r="AQ427" s="82"/>
      <c r="AR427" s="84"/>
      <c r="AS427" s="82"/>
      <c r="AT427" s="82"/>
      <c r="AU427" s="82"/>
    </row>
    <row r="428" spans="1:47" ht="15.75" customHeight="1">
      <c r="A428" s="82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83"/>
      <c r="AF428" s="83"/>
      <c r="AG428" s="83"/>
      <c r="AH428" s="83"/>
      <c r="AI428" s="83"/>
      <c r="AJ428" s="83"/>
      <c r="AK428" s="83"/>
      <c r="AL428" s="84"/>
      <c r="AM428" s="84"/>
      <c r="AN428" s="84"/>
      <c r="AO428" s="82"/>
      <c r="AP428" s="82"/>
      <c r="AQ428" s="82"/>
      <c r="AR428" s="84"/>
      <c r="AS428" s="82"/>
      <c r="AT428" s="82"/>
      <c r="AU428" s="82"/>
    </row>
    <row r="429" spans="1:47" ht="15.75" customHeight="1">
      <c r="A429" s="82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  <c r="AD429" s="83"/>
      <c r="AE429" s="83"/>
      <c r="AF429" s="83"/>
      <c r="AG429" s="83"/>
      <c r="AH429" s="83"/>
      <c r="AI429" s="83"/>
      <c r="AJ429" s="83"/>
      <c r="AK429" s="83"/>
      <c r="AL429" s="84"/>
      <c r="AM429" s="84"/>
      <c r="AN429" s="84"/>
      <c r="AO429" s="82"/>
      <c r="AP429" s="82"/>
      <c r="AQ429" s="82"/>
      <c r="AR429" s="84"/>
      <c r="AS429" s="82"/>
      <c r="AT429" s="82"/>
      <c r="AU429" s="82"/>
    </row>
    <row r="430" spans="1:47" ht="15.75" customHeight="1">
      <c r="A430" s="82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  <c r="AD430" s="83"/>
      <c r="AE430" s="83"/>
      <c r="AF430" s="83"/>
      <c r="AG430" s="83"/>
      <c r="AH430" s="83"/>
      <c r="AI430" s="83"/>
      <c r="AJ430" s="83"/>
      <c r="AK430" s="83"/>
      <c r="AL430" s="84"/>
      <c r="AM430" s="84"/>
      <c r="AN430" s="84"/>
      <c r="AO430" s="82"/>
      <c r="AP430" s="82"/>
      <c r="AQ430" s="82"/>
      <c r="AR430" s="84"/>
      <c r="AS430" s="82"/>
      <c r="AT430" s="82"/>
      <c r="AU430" s="82"/>
    </row>
    <row r="431" spans="1:47" ht="15.75" customHeight="1">
      <c r="A431" s="82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  <c r="AD431" s="83"/>
      <c r="AE431" s="83"/>
      <c r="AF431" s="83"/>
      <c r="AG431" s="83"/>
      <c r="AH431" s="83"/>
      <c r="AI431" s="83"/>
      <c r="AJ431" s="83"/>
      <c r="AK431" s="83"/>
      <c r="AL431" s="84"/>
      <c r="AM431" s="84"/>
      <c r="AN431" s="84"/>
      <c r="AO431" s="82"/>
      <c r="AP431" s="82"/>
      <c r="AQ431" s="82"/>
      <c r="AR431" s="84"/>
      <c r="AS431" s="82"/>
      <c r="AT431" s="82"/>
      <c r="AU431" s="82"/>
    </row>
    <row r="432" spans="1:47" ht="15.75" customHeight="1">
      <c r="A432" s="82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  <c r="AD432" s="83"/>
      <c r="AE432" s="83"/>
      <c r="AF432" s="83"/>
      <c r="AG432" s="83"/>
      <c r="AH432" s="83"/>
      <c r="AI432" s="83"/>
      <c r="AJ432" s="83"/>
      <c r="AK432" s="83"/>
      <c r="AL432" s="84"/>
      <c r="AM432" s="84"/>
      <c r="AN432" s="84"/>
      <c r="AO432" s="82"/>
      <c r="AP432" s="82"/>
      <c r="AQ432" s="82"/>
      <c r="AR432" s="84"/>
      <c r="AS432" s="82"/>
      <c r="AT432" s="82"/>
      <c r="AU432" s="82"/>
    </row>
    <row r="433" spans="1:47" ht="15.75" customHeight="1">
      <c r="A433" s="82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  <c r="AD433" s="83"/>
      <c r="AE433" s="83"/>
      <c r="AF433" s="83"/>
      <c r="AG433" s="83"/>
      <c r="AH433" s="83"/>
      <c r="AI433" s="83"/>
      <c r="AJ433" s="83"/>
      <c r="AK433" s="83"/>
      <c r="AL433" s="84"/>
      <c r="AM433" s="84"/>
      <c r="AN433" s="84"/>
      <c r="AO433" s="82"/>
      <c r="AP433" s="82"/>
      <c r="AQ433" s="82"/>
      <c r="AR433" s="84"/>
      <c r="AS433" s="82"/>
      <c r="AT433" s="82"/>
      <c r="AU433" s="82"/>
    </row>
    <row r="434" spans="1:47" ht="15.75" customHeight="1">
      <c r="A434" s="82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  <c r="AD434" s="83"/>
      <c r="AE434" s="83"/>
      <c r="AF434" s="83"/>
      <c r="AG434" s="83"/>
      <c r="AH434" s="83"/>
      <c r="AI434" s="83"/>
      <c r="AJ434" s="83"/>
      <c r="AK434" s="83"/>
      <c r="AL434" s="84"/>
      <c r="AM434" s="84"/>
      <c r="AN434" s="84"/>
      <c r="AO434" s="82"/>
      <c r="AP434" s="82"/>
      <c r="AQ434" s="82"/>
      <c r="AR434" s="84"/>
      <c r="AS434" s="82"/>
      <c r="AT434" s="82"/>
      <c r="AU434" s="82"/>
    </row>
    <row r="435" spans="1:47" ht="15.75" customHeight="1">
      <c r="A435" s="82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  <c r="AD435" s="83"/>
      <c r="AE435" s="83"/>
      <c r="AF435" s="83"/>
      <c r="AG435" s="83"/>
      <c r="AH435" s="83"/>
      <c r="AI435" s="83"/>
      <c r="AJ435" s="83"/>
      <c r="AK435" s="83"/>
      <c r="AL435" s="84"/>
      <c r="AM435" s="84"/>
      <c r="AN435" s="84"/>
      <c r="AO435" s="82"/>
      <c r="AP435" s="82"/>
      <c r="AQ435" s="82"/>
      <c r="AR435" s="84"/>
      <c r="AS435" s="82"/>
      <c r="AT435" s="82"/>
      <c r="AU435" s="82"/>
    </row>
    <row r="436" spans="1:47" ht="15.75" customHeight="1">
      <c r="A436" s="82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  <c r="AD436" s="83"/>
      <c r="AE436" s="83"/>
      <c r="AF436" s="83"/>
      <c r="AG436" s="83"/>
      <c r="AH436" s="83"/>
      <c r="AI436" s="83"/>
      <c r="AJ436" s="83"/>
      <c r="AK436" s="83"/>
      <c r="AL436" s="84"/>
      <c r="AM436" s="84"/>
      <c r="AN436" s="84"/>
      <c r="AO436" s="82"/>
      <c r="AP436" s="82"/>
      <c r="AQ436" s="82"/>
      <c r="AR436" s="84"/>
      <c r="AS436" s="82"/>
      <c r="AT436" s="82"/>
      <c r="AU436" s="82"/>
    </row>
    <row r="437" spans="1:47" ht="15.75" customHeight="1">
      <c r="A437" s="82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  <c r="AD437" s="83"/>
      <c r="AE437" s="83"/>
      <c r="AF437" s="83"/>
      <c r="AG437" s="83"/>
      <c r="AH437" s="83"/>
      <c r="AI437" s="83"/>
      <c r="AJ437" s="83"/>
      <c r="AK437" s="83"/>
      <c r="AL437" s="84"/>
      <c r="AM437" s="84"/>
      <c r="AN437" s="84"/>
      <c r="AO437" s="82"/>
      <c r="AP437" s="82"/>
      <c r="AQ437" s="82"/>
      <c r="AR437" s="84"/>
      <c r="AS437" s="82"/>
      <c r="AT437" s="82"/>
      <c r="AU437" s="82"/>
    </row>
    <row r="438" spans="1:47" ht="15.75" customHeight="1">
      <c r="A438" s="82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  <c r="AD438" s="83"/>
      <c r="AE438" s="83"/>
      <c r="AF438" s="83"/>
      <c r="AG438" s="83"/>
      <c r="AH438" s="83"/>
      <c r="AI438" s="83"/>
      <c r="AJ438" s="83"/>
      <c r="AK438" s="83"/>
      <c r="AL438" s="84"/>
      <c r="AM438" s="84"/>
      <c r="AN438" s="84"/>
      <c r="AO438" s="82"/>
      <c r="AP438" s="82"/>
      <c r="AQ438" s="82"/>
      <c r="AR438" s="84"/>
      <c r="AS438" s="82"/>
      <c r="AT438" s="82"/>
      <c r="AU438" s="82"/>
    </row>
    <row r="439" spans="1:47" ht="15.75" customHeight="1">
      <c r="A439" s="82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  <c r="AD439" s="83"/>
      <c r="AE439" s="83"/>
      <c r="AF439" s="83"/>
      <c r="AG439" s="83"/>
      <c r="AH439" s="83"/>
      <c r="AI439" s="83"/>
      <c r="AJ439" s="83"/>
      <c r="AK439" s="83"/>
      <c r="AL439" s="84"/>
      <c r="AM439" s="84"/>
      <c r="AN439" s="84"/>
      <c r="AO439" s="82"/>
      <c r="AP439" s="82"/>
      <c r="AQ439" s="82"/>
      <c r="AR439" s="84"/>
      <c r="AS439" s="82"/>
      <c r="AT439" s="82"/>
      <c r="AU439" s="82"/>
    </row>
    <row r="440" spans="1:47" ht="15.75" customHeight="1">
      <c r="A440" s="82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  <c r="AD440" s="83"/>
      <c r="AE440" s="83"/>
      <c r="AF440" s="83"/>
      <c r="AG440" s="83"/>
      <c r="AH440" s="83"/>
      <c r="AI440" s="83"/>
      <c r="AJ440" s="83"/>
      <c r="AK440" s="83"/>
      <c r="AL440" s="84"/>
      <c r="AM440" s="84"/>
      <c r="AN440" s="84"/>
      <c r="AO440" s="82"/>
      <c r="AP440" s="82"/>
      <c r="AQ440" s="82"/>
      <c r="AR440" s="84"/>
      <c r="AS440" s="82"/>
      <c r="AT440" s="82"/>
      <c r="AU440" s="82"/>
    </row>
    <row r="441" spans="1:47" ht="15.75" customHeight="1">
      <c r="A441" s="82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  <c r="AD441" s="83"/>
      <c r="AE441" s="83"/>
      <c r="AF441" s="83"/>
      <c r="AG441" s="83"/>
      <c r="AH441" s="83"/>
      <c r="AI441" s="83"/>
      <c r="AJ441" s="83"/>
      <c r="AK441" s="83"/>
      <c r="AL441" s="84"/>
      <c r="AM441" s="84"/>
      <c r="AN441" s="84"/>
      <c r="AO441" s="82"/>
      <c r="AP441" s="82"/>
      <c r="AQ441" s="82"/>
      <c r="AR441" s="84"/>
      <c r="AS441" s="82"/>
      <c r="AT441" s="82"/>
      <c r="AU441" s="82"/>
    </row>
    <row r="442" spans="1:47" ht="15.75" customHeight="1">
      <c r="A442" s="82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  <c r="AD442" s="83"/>
      <c r="AE442" s="83"/>
      <c r="AF442" s="83"/>
      <c r="AG442" s="83"/>
      <c r="AH442" s="83"/>
      <c r="AI442" s="83"/>
      <c r="AJ442" s="83"/>
      <c r="AK442" s="83"/>
      <c r="AL442" s="84"/>
      <c r="AM442" s="84"/>
      <c r="AN442" s="84"/>
      <c r="AO442" s="82"/>
      <c r="AP442" s="82"/>
      <c r="AQ442" s="82"/>
      <c r="AR442" s="84"/>
      <c r="AS442" s="82"/>
      <c r="AT442" s="82"/>
      <c r="AU442" s="82"/>
    </row>
    <row r="443" spans="1:47" ht="15.75" customHeight="1">
      <c r="A443" s="82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  <c r="AD443" s="83"/>
      <c r="AE443" s="83"/>
      <c r="AF443" s="83"/>
      <c r="AG443" s="83"/>
      <c r="AH443" s="83"/>
      <c r="AI443" s="83"/>
      <c r="AJ443" s="83"/>
      <c r="AK443" s="83"/>
      <c r="AL443" s="84"/>
      <c r="AM443" s="84"/>
      <c r="AN443" s="84"/>
      <c r="AO443" s="82"/>
      <c r="AP443" s="82"/>
      <c r="AQ443" s="82"/>
      <c r="AR443" s="84"/>
      <c r="AS443" s="82"/>
      <c r="AT443" s="82"/>
      <c r="AU443" s="82"/>
    </row>
    <row r="444" spans="1:47" ht="15.75" customHeight="1">
      <c r="A444" s="82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  <c r="AD444" s="83"/>
      <c r="AE444" s="83"/>
      <c r="AF444" s="83"/>
      <c r="AG444" s="83"/>
      <c r="AH444" s="83"/>
      <c r="AI444" s="83"/>
      <c r="AJ444" s="83"/>
      <c r="AK444" s="83"/>
      <c r="AL444" s="84"/>
      <c r="AM444" s="84"/>
      <c r="AN444" s="84"/>
      <c r="AO444" s="82"/>
      <c r="AP444" s="82"/>
      <c r="AQ444" s="82"/>
      <c r="AR444" s="84"/>
      <c r="AS444" s="82"/>
      <c r="AT444" s="82"/>
      <c r="AU444" s="82"/>
    </row>
    <row r="445" spans="1:47" ht="15.75" customHeight="1">
      <c r="A445" s="82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  <c r="AD445" s="83"/>
      <c r="AE445" s="83"/>
      <c r="AF445" s="83"/>
      <c r="AG445" s="83"/>
      <c r="AH445" s="83"/>
      <c r="AI445" s="83"/>
      <c r="AJ445" s="83"/>
      <c r="AK445" s="83"/>
      <c r="AL445" s="84"/>
      <c r="AM445" s="84"/>
      <c r="AN445" s="84"/>
      <c r="AO445" s="82"/>
      <c r="AP445" s="82"/>
      <c r="AQ445" s="82"/>
      <c r="AR445" s="84"/>
      <c r="AS445" s="82"/>
      <c r="AT445" s="82"/>
      <c r="AU445" s="82"/>
    </row>
    <row r="446" spans="1:47" ht="15.75" customHeight="1">
      <c r="A446" s="82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  <c r="AD446" s="83"/>
      <c r="AE446" s="83"/>
      <c r="AF446" s="83"/>
      <c r="AG446" s="83"/>
      <c r="AH446" s="83"/>
      <c r="AI446" s="83"/>
      <c r="AJ446" s="83"/>
      <c r="AK446" s="83"/>
      <c r="AL446" s="84"/>
      <c r="AM446" s="84"/>
      <c r="AN446" s="84"/>
      <c r="AO446" s="82"/>
      <c r="AP446" s="82"/>
      <c r="AQ446" s="82"/>
      <c r="AR446" s="84"/>
      <c r="AS446" s="82"/>
      <c r="AT446" s="82"/>
      <c r="AU446" s="82"/>
    </row>
    <row r="447" spans="1:47" ht="15.75" customHeight="1">
      <c r="A447" s="82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  <c r="AD447" s="83"/>
      <c r="AE447" s="83"/>
      <c r="AF447" s="83"/>
      <c r="AG447" s="83"/>
      <c r="AH447" s="83"/>
      <c r="AI447" s="83"/>
      <c r="AJ447" s="83"/>
      <c r="AK447" s="83"/>
      <c r="AL447" s="84"/>
      <c r="AM447" s="84"/>
      <c r="AN447" s="84"/>
      <c r="AO447" s="82"/>
      <c r="AP447" s="82"/>
      <c r="AQ447" s="82"/>
      <c r="AR447" s="84"/>
      <c r="AS447" s="82"/>
      <c r="AT447" s="82"/>
      <c r="AU447" s="82"/>
    </row>
    <row r="448" spans="1:47" ht="15.75" customHeight="1">
      <c r="A448" s="82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  <c r="AD448" s="83"/>
      <c r="AE448" s="83"/>
      <c r="AF448" s="83"/>
      <c r="AG448" s="83"/>
      <c r="AH448" s="83"/>
      <c r="AI448" s="83"/>
      <c r="AJ448" s="83"/>
      <c r="AK448" s="83"/>
      <c r="AL448" s="84"/>
      <c r="AM448" s="84"/>
      <c r="AN448" s="84"/>
      <c r="AO448" s="82"/>
      <c r="AP448" s="82"/>
      <c r="AQ448" s="82"/>
      <c r="AR448" s="84"/>
      <c r="AS448" s="82"/>
      <c r="AT448" s="82"/>
      <c r="AU448" s="82"/>
    </row>
    <row r="449" spans="1:47" ht="15.75" customHeight="1">
      <c r="A449" s="82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  <c r="AD449" s="83"/>
      <c r="AE449" s="83"/>
      <c r="AF449" s="83"/>
      <c r="AG449" s="83"/>
      <c r="AH449" s="83"/>
      <c r="AI449" s="83"/>
      <c r="AJ449" s="83"/>
      <c r="AK449" s="83"/>
      <c r="AL449" s="84"/>
      <c r="AM449" s="84"/>
      <c r="AN449" s="84"/>
      <c r="AO449" s="82"/>
      <c r="AP449" s="82"/>
      <c r="AQ449" s="82"/>
      <c r="AR449" s="84"/>
      <c r="AS449" s="82"/>
      <c r="AT449" s="82"/>
      <c r="AU449" s="82"/>
    </row>
    <row r="450" spans="1:47" ht="15.75" customHeight="1">
      <c r="A450" s="82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  <c r="AD450" s="83"/>
      <c r="AE450" s="83"/>
      <c r="AF450" s="83"/>
      <c r="AG450" s="83"/>
      <c r="AH450" s="83"/>
      <c r="AI450" s="83"/>
      <c r="AJ450" s="83"/>
      <c r="AK450" s="83"/>
      <c r="AL450" s="84"/>
      <c r="AM450" s="84"/>
      <c r="AN450" s="84"/>
      <c r="AO450" s="82"/>
      <c r="AP450" s="82"/>
      <c r="AQ450" s="82"/>
      <c r="AR450" s="84"/>
      <c r="AS450" s="82"/>
      <c r="AT450" s="82"/>
      <c r="AU450" s="82"/>
    </row>
    <row r="451" spans="1:47" ht="15.75" customHeight="1">
      <c r="A451" s="82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  <c r="AD451" s="83"/>
      <c r="AE451" s="83"/>
      <c r="AF451" s="83"/>
      <c r="AG451" s="83"/>
      <c r="AH451" s="83"/>
      <c r="AI451" s="83"/>
      <c r="AJ451" s="83"/>
      <c r="AK451" s="83"/>
      <c r="AL451" s="84"/>
      <c r="AM451" s="84"/>
      <c r="AN451" s="84"/>
      <c r="AO451" s="82"/>
      <c r="AP451" s="82"/>
      <c r="AQ451" s="82"/>
      <c r="AR451" s="84"/>
      <c r="AS451" s="82"/>
      <c r="AT451" s="82"/>
      <c r="AU451" s="82"/>
    </row>
    <row r="452" spans="1:47" ht="15.75" customHeight="1">
      <c r="A452" s="82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  <c r="AD452" s="83"/>
      <c r="AE452" s="83"/>
      <c r="AF452" s="83"/>
      <c r="AG452" s="83"/>
      <c r="AH452" s="83"/>
      <c r="AI452" s="83"/>
      <c r="AJ452" s="83"/>
      <c r="AK452" s="83"/>
      <c r="AL452" s="84"/>
      <c r="AM452" s="84"/>
      <c r="AN452" s="84"/>
      <c r="AO452" s="82"/>
      <c r="AP452" s="82"/>
      <c r="AQ452" s="82"/>
      <c r="AR452" s="84"/>
      <c r="AS452" s="82"/>
      <c r="AT452" s="82"/>
      <c r="AU452" s="82"/>
    </row>
    <row r="453" spans="1:47" ht="15.75" customHeight="1">
      <c r="A453" s="82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  <c r="AD453" s="83"/>
      <c r="AE453" s="83"/>
      <c r="AF453" s="83"/>
      <c r="AG453" s="83"/>
      <c r="AH453" s="83"/>
      <c r="AI453" s="83"/>
      <c r="AJ453" s="83"/>
      <c r="AK453" s="83"/>
      <c r="AL453" s="84"/>
      <c r="AM453" s="84"/>
      <c r="AN453" s="84"/>
      <c r="AO453" s="82"/>
      <c r="AP453" s="82"/>
      <c r="AQ453" s="82"/>
      <c r="AR453" s="84"/>
      <c r="AS453" s="82"/>
      <c r="AT453" s="82"/>
      <c r="AU453" s="82"/>
    </row>
    <row r="454" spans="1:47" ht="15.75" customHeight="1">
      <c r="A454" s="82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  <c r="AD454" s="83"/>
      <c r="AE454" s="83"/>
      <c r="AF454" s="83"/>
      <c r="AG454" s="83"/>
      <c r="AH454" s="83"/>
      <c r="AI454" s="83"/>
      <c r="AJ454" s="83"/>
      <c r="AK454" s="83"/>
      <c r="AL454" s="84"/>
      <c r="AM454" s="84"/>
      <c r="AN454" s="84"/>
      <c r="AO454" s="82"/>
      <c r="AP454" s="82"/>
      <c r="AQ454" s="82"/>
      <c r="AR454" s="84"/>
      <c r="AS454" s="82"/>
      <c r="AT454" s="82"/>
      <c r="AU454" s="82"/>
    </row>
    <row r="455" spans="1:47" ht="15.75" customHeight="1">
      <c r="A455" s="82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  <c r="AD455" s="83"/>
      <c r="AE455" s="83"/>
      <c r="AF455" s="83"/>
      <c r="AG455" s="83"/>
      <c r="AH455" s="83"/>
      <c r="AI455" s="83"/>
      <c r="AJ455" s="83"/>
      <c r="AK455" s="83"/>
      <c r="AL455" s="84"/>
      <c r="AM455" s="84"/>
      <c r="AN455" s="84"/>
      <c r="AO455" s="82"/>
      <c r="AP455" s="82"/>
      <c r="AQ455" s="82"/>
      <c r="AR455" s="84"/>
      <c r="AS455" s="82"/>
      <c r="AT455" s="82"/>
      <c r="AU455" s="82"/>
    </row>
    <row r="456" spans="1:47" ht="15.75" customHeight="1">
      <c r="A456" s="82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  <c r="AD456" s="83"/>
      <c r="AE456" s="83"/>
      <c r="AF456" s="83"/>
      <c r="AG456" s="83"/>
      <c r="AH456" s="83"/>
      <c r="AI456" s="83"/>
      <c r="AJ456" s="83"/>
      <c r="AK456" s="83"/>
      <c r="AL456" s="84"/>
      <c r="AM456" s="84"/>
      <c r="AN456" s="84"/>
      <c r="AO456" s="82"/>
      <c r="AP456" s="82"/>
      <c r="AQ456" s="82"/>
      <c r="AR456" s="84"/>
      <c r="AS456" s="82"/>
      <c r="AT456" s="82"/>
      <c r="AU456" s="82"/>
    </row>
    <row r="457" spans="1:47" ht="15.75" customHeight="1">
      <c r="A457" s="82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  <c r="AD457" s="83"/>
      <c r="AE457" s="83"/>
      <c r="AF457" s="83"/>
      <c r="AG457" s="83"/>
      <c r="AH457" s="83"/>
      <c r="AI457" s="83"/>
      <c r="AJ457" s="83"/>
      <c r="AK457" s="83"/>
      <c r="AL457" s="84"/>
      <c r="AM457" s="84"/>
      <c r="AN457" s="84"/>
      <c r="AO457" s="82"/>
      <c r="AP457" s="82"/>
      <c r="AQ457" s="82"/>
      <c r="AR457" s="84"/>
      <c r="AS457" s="82"/>
      <c r="AT457" s="82"/>
      <c r="AU457" s="82"/>
    </row>
    <row r="458" spans="1:47" ht="15.75" customHeight="1">
      <c r="A458" s="82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  <c r="AD458" s="83"/>
      <c r="AE458" s="83"/>
      <c r="AF458" s="83"/>
      <c r="AG458" s="83"/>
      <c r="AH458" s="83"/>
      <c r="AI458" s="83"/>
      <c r="AJ458" s="83"/>
      <c r="AK458" s="83"/>
      <c r="AL458" s="84"/>
      <c r="AM458" s="84"/>
      <c r="AN458" s="84"/>
      <c r="AO458" s="82"/>
      <c r="AP458" s="82"/>
      <c r="AQ458" s="82"/>
      <c r="AR458" s="84"/>
      <c r="AS458" s="82"/>
      <c r="AT458" s="82"/>
      <c r="AU458" s="82"/>
    </row>
    <row r="459" spans="1:47" ht="15.75" customHeight="1">
      <c r="A459" s="82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  <c r="AD459" s="83"/>
      <c r="AE459" s="83"/>
      <c r="AF459" s="83"/>
      <c r="AG459" s="83"/>
      <c r="AH459" s="83"/>
      <c r="AI459" s="83"/>
      <c r="AJ459" s="83"/>
      <c r="AK459" s="83"/>
      <c r="AL459" s="84"/>
      <c r="AM459" s="84"/>
      <c r="AN459" s="84"/>
      <c r="AO459" s="82"/>
      <c r="AP459" s="82"/>
      <c r="AQ459" s="82"/>
      <c r="AR459" s="84"/>
      <c r="AS459" s="82"/>
      <c r="AT459" s="82"/>
      <c r="AU459" s="82"/>
    </row>
    <row r="460" spans="1:47" ht="15.75" customHeight="1">
      <c r="A460" s="82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  <c r="AD460" s="83"/>
      <c r="AE460" s="83"/>
      <c r="AF460" s="83"/>
      <c r="AG460" s="83"/>
      <c r="AH460" s="83"/>
      <c r="AI460" s="83"/>
      <c r="AJ460" s="83"/>
      <c r="AK460" s="83"/>
      <c r="AL460" s="84"/>
      <c r="AM460" s="84"/>
      <c r="AN460" s="84"/>
      <c r="AO460" s="82"/>
      <c r="AP460" s="82"/>
      <c r="AQ460" s="82"/>
      <c r="AR460" s="84"/>
      <c r="AS460" s="82"/>
      <c r="AT460" s="82"/>
      <c r="AU460" s="82"/>
    </row>
    <row r="461" spans="1:47" ht="15.75" customHeight="1">
      <c r="A461" s="82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  <c r="AD461" s="83"/>
      <c r="AE461" s="83"/>
      <c r="AF461" s="83"/>
      <c r="AG461" s="83"/>
      <c r="AH461" s="83"/>
      <c r="AI461" s="83"/>
      <c r="AJ461" s="83"/>
      <c r="AK461" s="83"/>
      <c r="AL461" s="84"/>
      <c r="AM461" s="84"/>
      <c r="AN461" s="84"/>
      <c r="AO461" s="82"/>
      <c r="AP461" s="82"/>
      <c r="AQ461" s="82"/>
      <c r="AR461" s="84"/>
      <c r="AS461" s="82"/>
      <c r="AT461" s="82"/>
      <c r="AU461" s="82"/>
    </row>
    <row r="462" spans="1:47" ht="15.75" customHeight="1">
      <c r="A462" s="82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  <c r="AD462" s="83"/>
      <c r="AE462" s="83"/>
      <c r="AF462" s="83"/>
      <c r="AG462" s="83"/>
      <c r="AH462" s="83"/>
      <c r="AI462" s="83"/>
      <c r="AJ462" s="83"/>
      <c r="AK462" s="83"/>
      <c r="AL462" s="84"/>
      <c r="AM462" s="84"/>
      <c r="AN462" s="84"/>
      <c r="AO462" s="82"/>
      <c r="AP462" s="82"/>
      <c r="AQ462" s="82"/>
      <c r="AR462" s="84"/>
      <c r="AS462" s="82"/>
      <c r="AT462" s="82"/>
      <c r="AU462" s="82"/>
    </row>
    <row r="463" spans="1:47" ht="15.75" customHeight="1">
      <c r="A463" s="82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  <c r="AD463" s="83"/>
      <c r="AE463" s="83"/>
      <c r="AF463" s="83"/>
      <c r="AG463" s="83"/>
      <c r="AH463" s="83"/>
      <c r="AI463" s="83"/>
      <c r="AJ463" s="83"/>
      <c r="AK463" s="83"/>
      <c r="AL463" s="84"/>
      <c r="AM463" s="84"/>
      <c r="AN463" s="84"/>
      <c r="AO463" s="82"/>
      <c r="AP463" s="82"/>
      <c r="AQ463" s="82"/>
      <c r="AR463" s="84"/>
      <c r="AS463" s="82"/>
      <c r="AT463" s="82"/>
      <c r="AU463" s="82"/>
    </row>
    <row r="464" spans="1:47" ht="15.75" customHeight="1">
      <c r="A464" s="82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  <c r="AD464" s="83"/>
      <c r="AE464" s="83"/>
      <c r="AF464" s="83"/>
      <c r="AG464" s="83"/>
      <c r="AH464" s="83"/>
      <c r="AI464" s="83"/>
      <c r="AJ464" s="83"/>
      <c r="AK464" s="83"/>
      <c r="AL464" s="84"/>
      <c r="AM464" s="84"/>
      <c r="AN464" s="84"/>
      <c r="AO464" s="82"/>
      <c r="AP464" s="82"/>
      <c r="AQ464" s="82"/>
      <c r="AR464" s="84"/>
      <c r="AS464" s="82"/>
      <c r="AT464" s="82"/>
      <c r="AU464" s="82"/>
    </row>
    <row r="465" spans="1:47" ht="15.75" customHeight="1">
      <c r="A465" s="82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  <c r="AD465" s="83"/>
      <c r="AE465" s="83"/>
      <c r="AF465" s="83"/>
      <c r="AG465" s="83"/>
      <c r="AH465" s="83"/>
      <c r="AI465" s="83"/>
      <c r="AJ465" s="83"/>
      <c r="AK465" s="83"/>
      <c r="AL465" s="84"/>
      <c r="AM465" s="84"/>
      <c r="AN465" s="84"/>
      <c r="AO465" s="82"/>
      <c r="AP465" s="82"/>
      <c r="AQ465" s="82"/>
      <c r="AR465" s="84"/>
      <c r="AS465" s="82"/>
      <c r="AT465" s="82"/>
      <c r="AU465" s="82"/>
    </row>
    <row r="466" spans="1:47" ht="15.75" customHeight="1">
      <c r="A466" s="82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  <c r="AD466" s="83"/>
      <c r="AE466" s="83"/>
      <c r="AF466" s="83"/>
      <c r="AG466" s="83"/>
      <c r="AH466" s="83"/>
      <c r="AI466" s="83"/>
      <c r="AJ466" s="83"/>
      <c r="AK466" s="83"/>
      <c r="AL466" s="84"/>
      <c r="AM466" s="84"/>
      <c r="AN466" s="84"/>
      <c r="AO466" s="82"/>
      <c r="AP466" s="82"/>
      <c r="AQ466" s="82"/>
      <c r="AR466" s="84"/>
      <c r="AS466" s="82"/>
      <c r="AT466" s="82"/>
      <c r="AU466" s="82"/>
    </row>
    <row r="467" spans="1:47" ht="15.75" customHeight="1">
      <c r="A467" s="82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  <c r="AD467" s="83"/>
      <c r="AE467" s="83"/>
      <c r="AF467" s="83"/>
      <c r="AG467" s="83"/>
      <c r="AH467" s="83"/>
      <c r="AI467" s="83"/>
      <c r="AJ467" s="83"/>
      <c r="AK467" s="83"/>
      <c r="AL467" s="84"/>
      <c r="AM467" s="84"/>
      <c r="AN467" s="84"/>
      <c r="AO467" s="82"/>
      <c r="AP467" s="82"/>
      <c r="AQ467" s="82"/>
      <c r="AR467" s="84"/>
      <c r="AS467" s="82"/>
      <c r="AT467" s="82"/>
      <c r="AU467" s="82"/>
    </row>
    <row r="468" spans="1:47" ht="15.75" customHeight="1">
      <c r="A468" s="82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  <c r="AD468" s="83"/>
      <c r="AE468" s="83"/>
      <c r="AF468" s="83"/>
      <c r="AG468" s="83"/>
      <c r="AH468" s="83"/>
      <c r="AI468" s="83"/>
      <c r="AJ468" s="83"/>
      <c r="AK468" s="83"/>
      <c r="AL468" s="84"/>
      <c r="AM468" s="84"/>
      <c r="AN468" s="84"/>
      <c r="AO468" s="82"/>
      <c r="AP468" s="82"/>
      <c r="AQ468" s="82"/>
      <c r="AR468" s="84"/>
      <c r="AS468" s="82"/>
      <c r="AT468" s="82"/>
      <c r="AU468" s="82"/>
    </row>
    <row r="469" spans="1:47" ht="15.75" customHeight="1">
      <c r="A469" s="82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  <c r="AD469" s="83"/>
      <c r="AE469" s="83"/>
      <c r="AF469" s="83"/>
      <c r="AG469" s="83"/>
      <c r="AH469" s="83"/>
      <c r="AI469" s="83"/>
      <c r="AJ469" s="83"/>
      <c r="AK469" s="83"/>
      <c r="AL469" s="84"/>
      <c r="AM469" s="84"/>
      <c r="AN469" s="84"/>
      <c r="AO469" s="82"/>
      <c r="AP469" s="82"/>
      <c r="AQ469" s="82"/>
      <c r="AR469" s="84"/>
      <c r="AS469" s="82"/>
      <c r="AT469" s="82"/>
      <c r="AU469" s="82"/>
    </row>
    <row r="470" spans="1:47" ht="15.75" customHeight="1">
      <c r="A470" s="82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  <c r="AD470" s="83"/>
      <c r="AE470" s="83"/>
      <c r="AF470" s="83"/>
      <c r="AG470" s="83"/>
      <c r="AH470" s="83"/>
      <c r="AI470" s="83"/>
      <c r="AJ470" s="83"/>
      <c r="AK470" s="83"/>
      <c r="AL470" s="84"/>
      <c r="AM470" s="84"/>
      <c r="AN470" s="84"/>
      <c r="AO470" s="82"/>
      <c r="AP470" s="82"/>
      <c r="AQ470" s="82"/>
      <c r="AR470" s="84"/>
      <c r="AS470" s="82"/>
      <c r="AT470" s="82"/>
      <c r="AU470" s="82"/>
    </row>
    <row r="471" spans="1:47" ht="15.75" customHeight="1">
      <c r="A471" s="82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  <c r="AD471" s="83"/>
      <c r="AE471" s="83"/>
      <c r="AF471" s="83"/>
      <c r="AG471" s="83"/>
      <c r="AH471" s="83"/>
      <c r="AI471" s="83"/>
      <c r="AJ471" s="83"/>
      <c r="AK471" s="83"/>
      <c r="AL471" s="84"/>
      <c r="AM471" s="84"/>
      <c r="AN471" s="84"/>
      <c r="AO471" s="82"/>
      <c r="AP471" s="82"/>
      <c r="AQ471" s="82"/>
      <c r="AR471" s="84"/>
      <c r="AS471" s="82"/>
      <c r="AT471" s="82"/>
      <c r="AU471" s="82"/>
    </row>
    <row r="472" spans="1:47" ht="15.75" customHeight="1">
      <c r="A472" s="82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  <c r="AD472" s="83"/>
      <c r="AE472" s="83"/>
      <c r="AF472" s="83"/>
      <c r="AG472" s="83"/>
      <c r="AH472" s="83"/>
      <c r="AI472" s="83"/>
      <c r="AJ472" s="83"/>
      <c r="AK472" s="83"/>
      <c r="AL472" s="84"/>
      <c r="AM472" s="84"/>
      <c r="AN472" s="84"/>
      <c r="AO472" s="82"/>
      <c r="AP472" s="82"/>
      <c r="AQ472" s="82"/>
      <c r="AR472" s="84"/>
      <c r="AS472" s="82"/>
      <c r="AT472" s="82"/>
      <c r="AU472" s="82"/>
    </row>
    <row r="473" spans="1:47" ht="15.75" customHeight="1">
      <c r="A473" s="82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  <c r="AD473" s="83"/>
      <c r="AE473" s="83"/>
      <c r="AF473" s="83"/>
      <c r="AG473" s="83"/>
      <c r="AH473" s="83"/>
      <c r="AI473" s="83"/>
      <c r="AJ473" s="83"/>
      <c r="AK473" s="83"/>
      <c r="AL473" s="84"/>
      <c r="AM473" s="84"/>
      <c r="AN473" s="84"/>
      <c r="AO473" s="82"/>
      <c r="AP473" s="82"/>
      <c r="AQ473" s="82"/>
      <c r="AR473" s="84"/>
      <c r="AS473" s="82"/>
      <c r="AT473" s="82"/>
      <c r="AU473" s="82"/>
    </row>
    <row r="474" spans="1:47" ht="15.75" customHeight="1">
      <c r="A474" s="82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  <c r="AD474" s="83"/>
      <c r="AE474" s="83"/>
      <c r="AF474" s="83"/>
      <c r="AG474" s="83"/>
      <c r="AH474" s="83"/>
      <c r="AI474" s="83"/>
      <c r="AJ474" s="83"/>
      <c r="AK474" s="83"/>
      <c r="AL474" s="84"/>
      <c r="AM474" s="84"/>
      <c r="AN474" s="84"/>
      <c r="AO474" s="82"/>
      <c r="AP474" s="82"/>
      <c r="AQ474" s="82"/>
      <c r="AR474" s="84"/>
      <c r="AS474" s="82"/>
      <c r="AT474" s="82"/>
      <c r="AU474" s="82"/>
    </row>
    <row r="475" spans="1:47" ht="15.75" customHeight="1">
      <c r="A475" s="82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  <c r="AD475" s="83"/>
      <c r="AE475" s="83"/>
      <c r="AF475" s="83"/>
      <c r="AG475" s="83"/>
      <c r="AH475" s="83"/>
      <c r="AI475" s="83"/>
      <c r="AJ475" s="83"/>
      <c r="AK475" s="83"/>
      <c r="AL475" s="84"/>
      <c r="AM475" s="84"/>
      <c r="AN475" s="84"/>
      <c r="AO475" s="82"/>
      <c r="AP475" s="82"/>
      <c r="AQ475" s="82"/>
      <c r="AR475" s="84"/>
      <c r="AS475" s="82"/>
      <c r="AT475" s="82"/>
      <c r="AU475" s="82"/>
    </row>
    <row r="476" spans="1:47" ht="15.75" customHeight="1">
      <c r="A476" s="82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  <c r="AD476" s="83"/>
      <c r="AE476" s="83"/>
      <c r="AF476" s="83"/>
      <c r="AG476" s="83"/>
      <c r="AH476" s="83"/>
      <c r="AI476" s="83"/>
      <c r="AJ476" s="83"/>
      <c r="AK476" s="83"/>
      <c r="AL476" s="84"/>
      <c r="AM476" s="84"/>
      <c r="AN476" s="84"/>
      <c r="AO476" s="82"/>
      <c r="AP476" s="82"/>
      <c r="AQ476" s="82"/>
      <c r="AR476" s="84"/>
      <c r="AS476" s="82"/>
      <c r="AT476" s="82"/>
      <c r="AU476" s="82"/>
    </row>
    <row r="477" spans="1:47" ht="15.75" customHeight="1">
      <c r="A477" s="82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  <c r="AD477" s="83"/>
      <c r="AE477" s="83"/>
      <c r="AF477" s="83"/>
      <c r="AG477" s="83"/>
      <c r="AH477" s="83"/>
      <c r="AI477" s="83"/>
      <c r="AJ477" s="83"/>
      <c r="AK477" s="83"/>
      <c r="AL477" s="84"/>
      <c r="AM477" s="84"/>
      <c r="AN477" s="84"/>
      <c r="AO477" s="82"/>
      <c r="AP477" s="82"/>
      <c r="AQ477" s="82"/>
      <c r="AR477" s="84"/>
      <c r="AS477" s="82"/>
      <c r="AT477" s="82"/>
      <c r="AU477" s="82"/>
    </row>
    <row r="478" spans="1:47" ht="15.75" customHeight="1">
      <c r="A478" s="82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  <c r="AD478" s="83"/>
      <c r="AE478" s="83"/>
      <c r="AF478" s="83"/>
      <c r="AG478" s="83"/>
      <c r="AH478" s="83"/>
      <c r="AI478" s="83"/>
      <c r="AJ478" s="83"/>
      <c r="AK478" s="83"/>
      <c r="AL478" s="84"/>
      <c r="AM478" s="84"/>
      <c r="AN478" s="84"/>
      <c r="AO478" s="82"/>
      <c r="AP478" s="82"/>
      <c r="AQ478" s="82"/>
      <c r="AR478" s="84"/>
      <c r="AS478" s="82"/>
      <c r="AT478" s="82"/>
      <c r="AU478" s="82"/>
    </row>
    <row r="479" spans="1:47" ht="15.75" customHeight="1">
      <c r="A479" s="82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83"/>
      <c r="AF479" s="83"/>
      <c r="AG479" s="83"/>
      <c r="AH479" s="83"/>
      <c r="AI479" s="83"/>
      <c r="AJ479" s="83"/>
      <c r="AK479" s="83"/>
      <c r="AL479" s="84"/>
      <c r="AM479" s="84"/>
      <c r="AN479" s="84"/>
      <c r="AO479" s="82"/>
      <c r="AP479" s="82"/>
      <c r="AQ479" s="82"/>
      <c r="AR479" s="84"/>
      <c r="AS479" s="82"/>
      <c r="AT479" s="82"/>
      <c r="AU479" s="82"/>
    </row>
    <row r="480" spans="1:47" ht="15.75" customHeight="1">
      <c r="A480" s="82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  <c r="AD480" s="83"/>
      <c r="AE480" s="83"/>
      <c r="AF480" s="83"/>
      <c r="AG480" s="83"/>
      <c r="AH480" s="83"/>
      <c r="AI480" s="83"/>
      <c r="AJ480" s="83"/>
      <c r="AK480" s="83"/>
      <c r="AL480" s="84"/>
      <c r="AM480" s="84"/>
      <c r="AN480" s="84"/>
      <c r="AO480" s="82"/>
      <c r="AP480" s="82"/>
      <c r="AQ480" s="82"/>
      <c r="AR480" s="84"/>
      <c r="AS480" s="82"/>
      <c r="AT480" s="82"/>
      <c r="AU480" s="82"/>
    </row>
    <row r="481" spans="1:47" ht="15.75" customHeight="1">
      <c r="A481" s="82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  <c r="AD481" s="83"/>
      <c r="AE481" s="83"/>
      <c r="AF481" s="83"/>
      <c r="AG481" s="83"/>
      <c r="AH481" s="83"/>
      <c r="AI481" s="83"/>
      <c r="AJ481" s="83"/>
      <c r="AK481" s="83"/>
      <c r="AL481" s="84"/>
      <c r="AM481" s="84"/>
      <c r="AN481" s="84"/>
      <c r="AO481" s="82"/>
      <c r="AP481" s="82"/>
      <c r="AQ481" s="82"/>
      <c r="AR481" s="84"/>
      <c r="AS481" s="82"/>
      <c r="AT481" s="82"/>
      <c r="AU481" s="82"/>
    </row>
    <row r="482" spans="1:47" ht="15.75" customHeight="1">
      <c r="A482" s="82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  <c r="AD482" s="83"/>
      <c r="AE482" s="83"/>
      <c r="AF482" s="83"/>
      <c r="AG482" s="83"/>
      <c r="AH482" s="83"/>
      <c r="AI482" s="83"/>
      <c r="AJ482" s="83"/>
      <c r="AK482" s="83"/>
      <c r="AL482" s="84"/>
      <c r="AM482" s="84"/>
      <c r="AN482" s="84"/>
      <c r="AO482" s="82"/>
      <c r="AP482" s="82"/>
      <c r="AQ482" s="82"/>
      <c r="AR482" s="84"/>
      <c r="AS482" s="82"/>
      <c r="AT482" s="82"/>
      <c r="AU482" s="82"/>
    </row>
    <row r="483" spans="1:47" ht="15.75" customHeight="1">
      <c r="A483" s="82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  <c r="AD483" s="83"/>
      <c r="AE483" s="83"/>
      <c r="AF483" s="83"/>
      <c r="AG483" s="83"/>
      <c r="AH483" s="83"/>
      <c r="AI483" s="83"/>
      <c r="AJ483" s="83"/>
      <c r="AK483" s="83"/>
      <c r="AL483" s="84"/>
      <c r="AM483" s="84"/>
      <c r="AN483" s="84"/>
      <c r="AO483" s="82"/>
      <c r="AP483" s="82"/>
      <c r="AQ483" s="82"/>
      <c r="AR483" s="84"/>
      <c r="AS483" s="82"/>
      <c r="AT483" s="82"/>
      <c r="AU483" s="82"/>
    </row>
    <row r="484" spans="1:47" ht="15.75" customHeight="1">
      <c r="A484" s="82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  <c r="AD484" s="83"/>
      <c r="AE484" s="83"/>
      <c r="AF484" s="83"/>
      <c r="AG484" s="83"/>
      <c r="AH484" s="83"/>
      <c r="AI484" s="83"/>
      <c r="AJ484" s="83"/>
      <c r="AK484" s="83"/>
      <c r="AL484" s="84"/>
      <c r="AM484" s="84"/>
      <c r="AN484" s="84"/>
      <c r="AO484" s="82"/>
      <c r="AP484" s="82"/>
      <c r="AQ484" s="82"/>
      <c r="AR484" s="84"/>
      <c r="AS484" s="82"/>
      <c r="AT484" s="82"/>
      <c r="AU484" s="82"/>
    </row>
    <row r="485" spans="1:47" ht="15.75" customHeight="1">
      <c r="A485" s="82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  <c r="AD485" s="83"/>
      <c r="AE485" s="83"/>
      <c r="AF485" s="83"/>
      <c r="AG485" s="83"/>
      <c r="AH485" s="83"/>
      <c r="AI485" s="83"/>
      <c r="AJ485" s="83"/>
      <c r="AK485" s="83"/>
      <c r="AL485" s="84"/>
      <c r="AM485" s="84"/>
      <c r="AN485" s="84"/>
      <c r="AO485" s="82"/>
      <c r="AP485" s="82"/>
      <c r="AQ485" s="82"/>
      <c r="AR485" s="84"/>
      <c r="AS485" s="82"/>
      <c r="AT485" s="82"/>
      <c r="AU485" s="82"/>
    </row>
    <row r="486" spans="1:47" ht="15.75" customHeight="1">
      <c r="A486" s="82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  <c r="AD486" s="83"/>
      <c r="AE486" s="83"/>
      <c r="AF486" s="83"/>
      <c r="AG486" s="83"/>
      <c r="AH486" s="83"/>
      <c r="AI486" s="83"/>
      <c r="AJ486" s="83"/>
      <c r="AK486" s="83"/>
      <c r="AL486" s="84"/>
      <c r="AM486" s="84"/>
      <c r="AN486" s="84"/>
      <c r="AO486" s="82"/>
      <c r="AP486" s="82"/>
      <c r="AQ486" s="82"/>
      <c r="AR486" s="84"/>
      <c r="AS486" s="82"/>
      <c r="AT486" s="82"/>
      <c r="AU486" s="82"/>
    </row>
    <row r="487" spans="1:47" ht="15.75" customHeight="1">
      <c r="A487" s="82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  <c r="AD487" s="83"/>
      <c r="AE487" s="83"/>
      <c r="AF487" s="83"/>
      <c r="AG487" s="83"/>
      <c r="AH487" s="83"/>
      <c r="AI487" s="83"/>
      <c r="AJ487" s="83"/>
      <c r="AK487" s="83"/>
      <c r="AL487" s="84"/>
      <c r="AM487" s="84"/>
      <c r="AN487" s="84"/>
      <c r="AO487" s="82"/>
      <c r="AP487" s="82"/>
      <c r="AQ487" s="82"/>
      <c r="AR487" s="84"/>
      <c r="AS487" s="82"/>
      <c r="AT487" s="82"/>
      <c r="AU487" s="82"/>
    </row>
    <row r="488" spans="1:47" ht="15.75" customHeight="1">
      <c r="A488" s="82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  <c r="AD488" s="83"/>
      <c r="AE488" s="83"/>
      <c r="AF488" s="83"/>
      <c r="AG488" s="83"/>
      <c r="AH488" s="83"/>
      <c r="AI488" s="83"/>
      <c r="AJ488" s="83"/>
      <c r="AK488" s="83"/>
      <c r="AL488" s="84"/>
      <c r="AM488" s="84"/>
      <c r="AN488" s="84"/>
      <c r="AO488" s="82"/>
      <c r="AP488" s="82"/>
      <c r="AQ488" s="82"/>
      <c r="AR488" s="84"/>
      <c r="AS488" s="82"/>
      <c r="AT488" s="82"/>
      <c r="AU488" s="82"/>
    </row>
    <row r="489" spans="1:47" ht="15.75" customHeight="1">
      <c r="A489" s="82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  <c r="AD489" s="83"/>
      <c r="AE489" s="83"/>
      <c r="AF489" s="83"/>
      <c r="AG489" s="83"/>
      <c r="AH489" s="83"/>
      <c r="AI489" s="83"/>
      <c r="AJ489" s="83"/>
      <c r="AK489" s="83"/>
      <c r="AL489" s="84"/>
      <c r="AM489" s="84"/>
      <c r="AN489" s="84"/>
      <c r="AO489" s="82"/>
      <c r="AP489" s="82"/>
      <c r="AQ489" s="82"/>
      <c r="AR489" s="84"/>
      <c r="AS489" s="82"/>
      <c r="AT489" s="82"/>
      <c r="AU489" s="82"/>
    </row>
    <row r="490" spans="1:47" ht="15.75" customHeight="1">
      <c r="A490" s="82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  <c r="AD490" s="83"/>
      <c r="AE490" s="83"/>
      <c r="AF490" s="83"/>
      <c r="AG490" s="83"/>
      <c r="AH490" s="83"/>
      <c r="AI490" s="83"/>
      <c r="AJ490" s="83"/>
      <c r="AK490" s="83"/>
      <c r="AL490" s="84"/>
      <c r="AM490" s="84"/>
      <c r="AN490" s="84"/>
      <c r="AO490" s="82"/>
      <c r="AP490" s="82"/>
      <c r="AQ490" s="82"/>
      <c r="AR490" s="84"/>
      <c r="AS490" s="82"/>
      <c r="AT490" s="82"/>
      <c r="AU490" s="82"/>
    </row>
    <row r="491" spans="1:47" ht="15.75" customHeight="1">
      <c r="A491" s="82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  <c r="AD491" s="83"/>
      <c r="AE491" s="83"/>
      <c r="AF491" s="83"/>
      <c r="AG491" s="83"/>
      <c r="AH491" s="83"/>
      <c r="AI491" s="83"/>
      <c r="AJ491" s="83"/>
      <c r="AK491" s="83"/>
      <c r="AL491" s="84"/>
      <c r="AM491" s="84"/>
      <c r="AN491" s="84"/>
      <c r="AO491" s="82"/>
      <c r="AP491" s="82"/>
      <c r="AQ491" s="82"/>
      <c r="AR491" s="84"/>
      <c r="AS491" s="82"/>
      <c r="AT491" s="82"/>
      <c r="AU491" s="82"/>
    </row>
    <row r="492" spans="1:47" ht="15.75" customHeight="1">
      <c r="A492" s="82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  <c r="AD492" s="83"/>
      <c r="AE492" s="83"/>
      <c r="AF492" s="83"/>
      <c r="AG492" s="83"/>
      <c r="AH492" s="83"/>
      <c r="AI492" s="83"/>
      <c r="AJ492" s="83"/>
      <c r="AK492" s="83"/>
      <c r="AL492" s="84"/>
      <c r="AM492" s="84"/>
      <c r="AN492" s="84"/>
      <c r="AO492" s="82"/>
      <c r="AP492" s="82"/>
      <c r="AQ492" s="82"/>
      <c r="AR492" s="84"/>
      <c r="AS492" s="82"/>
      <c r="AT492" s="82"/>
      <c r="AU492" s="82"/>
    </row>
    <row r="493" spans="1:47" ht="15.75" customHeight="1">
      <c r="A493" s="82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  <c r="AD493" s="83"/>
      <c r="AE493" s="83"/>
      <c r="AF493" s="83"/>
      <c r="AG493" s="83"/>
      <c r="AH493" s="83"/>
      <c r="AI493" s="83"/>
      <c r="AJ493" s="83"/>
      <c r="AK493" s="83"/>
      <c r="AL493" s="84"/>
      <c r="AM493" s="84"/>
      <c r="AN493" s="84"/>
      <c r="AO493" s="82"/>
      <c r="AP493" s="82"/>
      <c r="AQ493" s="82"/>
      <c r="AR493" s="84"/>
      <c r="AS493" s="82"/>
      <c r="AT493" s="82"/>
      <c r="AU493" s="82"/>
    </row>
    <row r="494" spans="1:47" ht="15.75" customHeight="1">
      <c r="A494" s="82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  <c r="AD494" s="83"/>
      <c r="AE494" s="83"/>
      <c r="AF494" s="83"/>
      <c r="AG494" s="83"/>
      <c r="AH494" s="83"/>
      <c r="AI494" s="83"/>
      <c r="AJ494" s="83"/>
      <c r="AK494" s="83"/>
      <c r="AL494" s="84"/>
      <c r="AM494" s="84"/>
      <c r="AN494" s="84"/>
      <c r="AO494" s="82"/>
      <c r="AP494" s="82"/>
      <c r="AQ494" s="82"/>
      <c r="AR494" s="84"/>
      <c r="AS494" s="82"/>
      <c r="AT494" s="82"/>
      <c r="AU494" s="82"/>
    </row>
    <row r="495" spans="1:47" ht="15.75" customHeight="1">
      <c r="A495" s="82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  <c r="AD495" s="83"/>
      <c r="AE495" s="83"/>
      <c r="AF495" s="83"/>
      <c r="AG495" s="83"/>
      <c r="AH495" s="83"/>
      <c r="AI495" s="83"/>
      <c r="AJ495" s="83"/>
      <c r="AK495" s="83"/>
      <c r="AL495" s="84"/>
      <c r="AM495" s="84"/>
      <c r="AN495" s="84"/>
      <c r="AO495" s="82"/>
      <c r="AP495" s="82"/>
      <c r="AQ495" s="82"/>
      <c r="AR495" s="84"/>
      <c r="AS495" s="82"/>
      <c r="AT495" s="82"/>
      <c r="AU495" s="82"/>
    </row>
    <row r="496" spans="1:47" ht="15.75" customHeight="1">
      <c r="A496" s="82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  <c r="AD496" s="83"/>
      <c r="AE496" s="83"/>
      <c r="AF496" s="83"/>
      <c r="AG496" s="83"/>
      <c r="AH496" s="83"/>
      <c r="AI496" s="83"/>
      <c r="AJ496" s="83"/>
      <c r="AK496" s="83"/>
      <c r="AL496" s="84"/>
      <c r="AM496" s="84"/>
      <c r="AN496" s="84"/>
      <c r="AO496" s="82"/>
      <c r="AP496" s="82"/>
      <c r="AQ496" s="82"/>
      <c r="AR496" s="84"/>
      <c r="AS496" s="82"/>
      <c r="AT496" s="82"/>
      <c r="AU496" s="82"/>
    </row>
    <row r="497" spans="1:47" ht="15.75" customHeight="1">
      <c r="A497" s="82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  <c r="AD497" s="83"/>
      <c r="AE497" s="83"/>
      <c r="AF497" s="83"/>
      <c r="AG497" s="83"/>
      <c r="AH497" s="83"/>
      <c r="AI497" s="83"/>
      <c r="AJ497" s="83"/>
      <c r="AK497" s="83"/>
      <c r="AL497" s="84"/>
      <c r="AM497" s="84"/>
      <c r="AN497" s="84"/>
      <c r="AO497" s="82"/>
      <c r="AP497" s="82"/>
      <c r="AQ497" s="82"/>
      <c r="AR497" s="84"/>
      <c r="AS497" s="82"/>
      <c r="AT497" s="82"/>
      <c r="AU497" s="82"/>
    </row>
    <row r="498" spans="1:47" ht="15.75" customHeight="1">
      <c r="A498" s="82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  <c r="AD498" s="83"/>
      <c r="AE498" s="83"/>
      <c r="AF498" s="83"/>
      <c r="AG498" s="83"/>
      <c r="AH498" s="83"/>
      <c r="AI498" s="83"/>
      <c r="AJ498" s="83"/>
      <c r="AK498" s="83"/>
      <c r="AL498" s="84"/>
      <c r="AM498" s="84"/>
      <c r="AN498" s="84"/>
      <c r="AO498" s="82"/>
      <c r="AP498" s="82"/>
      <c r="AQ498" s="82"/>
      <c r="AR498" s="84"/>
      <c r="AS498" s="82"/>
      <c r="AT498" s="82"/>
      <c r="AU498" s="82"/>
    </row>
    <row r="499" spans="1:47" ht="15.75" customHeight="1">
      <c r="A499" s="82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  <c r="AD499" s="83"/>
      <c r="AE499" s="83"/>
      <c r="AF499" s="83"/>
      <c r="AG499" s="83"/>
      <c r="AH499" s="83"/>
      <c r="AI499" s="83"/>
      <c r="AJ499" s="83"/>
      <c r="AK499" s="83"/>
      <c r="AL499" s="84"/>
      <c r="AM499" s="84"/>
      <c r="AN499" s="84"/>
      <c r="AO499" s="82"/>
      <c r="AP499" s="82"/>
      <c r="AQ499" s="82"/>
      <c r="AR499" s="84"/>
      <c r="AS499" s="82"/>
      <c r="AT499" s="82"/>
      <c r="AU499" s="82"/>
    </row>
    <row r="500" spans="1:47" ht="15.75" customHeight="1">
      <c r="A500" s="82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  <c r="AD500" s="83"/>
      <c r="AE500" s="83"/>
      <c r="AF500" s="83"/>
      <c r="AG500" s="83"/>
      <c r="AH500" s="83"/>
      <c r="AI500" s="83"/>
      <c r="AJ500" s="83"/>
      <c r="AK500" s="83"/>
      <c r="AL500" s="84"/>
      <c r="AM500" s="84"/>
      <c r="AN500" s="84"/>
      <c r="AO500" s="82"/>
      <c r="AP500" s="82"/>
      <c r="AQ500" s="82"/>
      <c r="AR500" s="84"/>
      <c r="AS500" s="82"/>
      <c r="AT500" s="82"/>
      <c r="AU500" s="82"/>
    </row>
    <row r="501" spans="1:47" ht="15.75" customHeight="1">
      <c r="A501" s="82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  <c r="AD501" s="83"/>
      <c r="AE501" s="83"/>
      <c r="AF501" s="83"/>
      <c r="AG501" s="83"/>
      <c r="AH501" s="83"/>
      <c r="AI501" s="83"/>
      <c r="AJ501" s="83"/>
      <c r="AK501" s="83"/>
      <c r="AL501" s="84"/>
      <c r="AM501" s="84"/>
      <c r="AN501" s="84"/>
      <c r="AO501" s="82"/>
      <c r="AP501" s="82"/>
      <c r="AQ501" s="82"/>
      <c r="AR501" s="84"/>
      <c r="AS501" s="82"/>
      <c r="AT501" s="82"/>
      <c r="AU501" s="82"/>
    </row>
    <row r="502" spans="1:47" ht="15.75" customHeight="1">
      <c r="A502" s="82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  <c r="AD502" s="83"/>
      <c r="AE502" s="83"/>
      <c r="AF502" s="83"/>
      <c r="AG502" s="83"/>
      <c r="AH502" s="83"/>
      <c r="AI502" s="83"/>
      <c r="AJ502" s="83"/>
      <c r="AK502" s="83"/>
      <c r="AL502" s="84"/>
      <c r="AM502" s="84"/>
      <c r="AN502" s="84"/>
      <c r="AO502" s="82"/>
      <c r="AP502" s="82"/>
      <c r="AQ502" s="82"/>
      <c r="AR502" s="84"/>
      <c r="AS502" s="82"/>
      <c r="AT502" s="82"/>
      <c r="AU502" s="82"/>
    </row>
    <row r="503" spans="1:47" ht="15.75" customHeight="1">
      <c r="A503" s="82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  <c r="AD503" s="83"/>
      <c r="AE503" s="83"/>
      <c r="AF503" s="83"/>
      <c r="AG503" s="83"/>
      <c r="AH503" s="83"/>
      <c r="AI503" s="83"/>
      <c r="AJ503" s="83"/>
      <c r="AK503" s="83"/>
      <c r="AL503" s="84"/>
      <c r="AM503" s="84"/>
      <c r="AN503" s="84"/>
      <c r="AO503" s="82"/>
      <c r="AP503" s="82"/>
      <c r="AQ503" s="82"/>
      <c r="AR503" s="84"/>
      <c r="AS503" s="82"/>
      <c r="AT503" s="82"/>
      <c r="AU503" s="82"/>
    </row>
    <row r="504" spans="1:47" ht="15.75" customHeight="1">
      <c r="A504" s="82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  <c r="AD504" s="83"/>
      <c r="AE504" s="83"/>
      <c r="AF504" s="83"/>
      <c r="AG504" s="83"/>
      <c r="AH504" s="83"/>
      <c r="AI504" s="83"/>
      <c r="AJ504" s="83"/>
      <c r="AK504" s="83"/>
      <c r="AL504" s="84"/>
      <c r="AM504" s="84"/>
      <c r="AN504" s="84"/>
      <c r="AO504" s="82"/>
      <c r="AP504" s="82"/>
      <c r="AQ504" s="82"/>
      <c r="AR504" s="84"/>
      <c r="AS504" s="82"/>
      <c r="AT504" s="82"/>
      <c r="AU504" s="82"/>
    </row>
    <row r="505" spans="1:47" ht="15.75" customHeight="1">
      <c r="A505" s="82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  <c r="AD505" s="83"/>
      <c r="AE505" s="83"/>
      <c r="AF505" s="83"/>
      <c r="AG505" s="83"/>
      <c r="AH505" s="83"/>
      <c r="AI505" s="83"/>
      <c r="AJ505" s="83"/>
      <c r="AK505" s="83"/>
      <c r="AL505" s="84"/>
      <c r="AM505" s="84"/>
      <c r="AN505" s="84"/>
      <c r="AO505" s="82"/>
      <c r="AP505" s="82"/>
      <c r="AQ505" s="82"/>
      <c r="AR505" s="84"/>
      <c r="AS505" s="82"/>
      <c r="AT505" s="82"/>
      <c r="AU505" s="82"/>
    </row>
    <row r="506" spans="1:47" ht="15.75" customHeight="1">
      <c r="A506" s="82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  <c r="AD506" s="83"/>
      <c r="AE506" s="83"/>
      <c r="AF506" s="83"/>
      <c r="AG506" s="83"/>
      <c r="AH506" s="83"/>
      <c r="AI506" s="83"/>
      <c r="AJ506" s="83"/>
      <c r="AK506" s="83"/>
      <c r="AL506" s="84"/>
      <c r="AM506" s="84"/>
      <c r="AN506" s="84"/>
      <c r="AO506" s="82"/>
      <c r="AP506" s="82"/>
      <c r="AQ506" s="82"/>
      <c r="AR506" s="84"/>
      <c r="AS506" s="82"/>
      <c r="AT506" s="82"/>
      <c r="AU506" s="82"/>
    </row>
    <row r="507" spans="1:47" ht="15.75" customHeight="1">
      <c r="A507" s="82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  <c r="AD507" s="83"/>
      <c r="AE507" s="83"/>
      <c r="AF507" s="83"/>
      <c r="AG507" s="83"/>
      <c r="AH507" s="83"/>
      <c r="AI507" s="83"/>
      <c r="AJ507" s="83"/>
      <c r="AK507" s="83"/>
      <c r="AL507" s="84"/>
      <c r="AM507" s="84"/>
      <c r="AN507" s="84"/>
      <c r="AO507" s="82"/>
      <c r="AP507" s="82"/>
      <c r="AQ507" s="82"/>
      <c r="AR507" s="84"/>
      <c r="AS507" s="82"/>
      <c r="AT507" s="82"/>
      <c r="AU507" s="82"/>
    </row>
    <row r="508" spans="1:47" ht="15.75" customHeight="1">
      <c r="A508" s="82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  <c r="AD508" s="83"/>
      <c r="AE508" s="83"/>
      <c r="AF508" s="83"/>
      <c r="AG508" s="83"/>
      <c r="AH508" s="83"/>
      <c r="AI508" s="83"/>
      <c r="AJ508" s="83"/>
      <c r="AK508" s="83"/>
      <c r="AL508" s="84"/>
      <c r="AM508" s="84"/>
      <c r="AN508" s="84"/>
      <c r="AO508" s="82"/>
      <c r="AP508" s="82"/>
      <c r="AQ508" s="82"/>
      <c r="AR508" s="84"/>
      <c r="AS508" s="82"/>
      <c r="AT508" s="82"/>
      <c r="AU508" s="82"/>
    </row>
    <row r="509" spans="1:47" ht="15.75" customHeight="1">
      <c r="A509" s="82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  <c r="AD509" s="83"/>
      <c r="AE509" s="83"/>
      <c r="AF509" s="83"/>
      <c r="AG509" s="83"/>
      <c r="AH509" s="83"/>
      <c r="AI509" s="83"/>
      <c r="AJ509" s="83"/>
      <c r="AK509" s="83"/>
      <c r="AL509" s="84"/>
      <c r="AM509" s="84"/>
      <c r="AN509" s="84"/>
      <c r="AO509" s="82"/>
      <c r="AP509" s="82"/>
      <c r="AQ509" s="82"/>
      <c r="AR509" s="84"/>
      <c r="AS509" s="82"/>
      <c r="AT509" s="82"/>
      <c r="AU509" s="82"/>
    </row>
    <row r="510" spans="1:47" ht="15.75" customHeight="1">
      <c r="A510" s="82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  <c r="AD510" s="83"/>
      <c r="AE510" s="83"/>
      <c r="AF510" s="83"/>
      <c r="AG510" s="83"/>
      <c r="AH510" s="83"/>
      <c r="AI510" s="83"/>
      <c r="AJ510" s="83"/>
      <c r="AK510" s="83"/>
      <c r="AL510" s="84"/>
      <c r="AM510" s="84"/>
      <c r="AN510" s="84"/>
      <c r="AO510" s="82"/>
      <c r="AP510" s="82"/>
      <c r="AQ510" s="82"/>
      <c r="AR510" s="84"/>
      <c r="AS510" s="82"/>
      <c r="AT510" s="82"/>
      <c r="AU510" s="82"/>
    </row>
    <row r="511" spans="1:47" ht="15.75" customHeight="1">
      <c r="A511" s="82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  <c r="AD511" s="83"/>
      <c r="AE511" s="83"/>
      <c r="AF511" s="83"/>
      <c r="AG511" s="83"/>
      <c r="AH511" s="83"/>
      <c r="AI511" s="83"/>
      <c r="AJ511" s="83"/>
      <c r="AK511" s="83"/>
      <c r="AL511" s="84"/>
      <c r="AM511" s="84"/>
      <c r="AN511" s="84"/>
      <c r="AO511" s="82"/>
      <c r="AP511" s="82"/>
      <c r="AQ511" s="82"/>
      <c r="AR511" s="84"/>
      <c r="AS511" s="82"/>
      <c r="AT511" s="82"/>
      <c r="AU511" s="82"/>
    </row>
    <row r="512" spans="1:47" ht="15.75" customHeight="1">
      <c r="A512" s="82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  <c r="AD512" s="83"/>
      <c r="AE512" s="83"/>
      <c r="AF512" s="83"/>
      <c r="AG512" s="83"/>
      <c r="AH512" s="83"/>
      <c r="AI512" s="83"/>
      <c r="AJ512" s="83"/>
      <c r="AK512" s="83"/>
      <c r="AL512" s="84"/>
      <c r="AM512" s="84"/>
      <c r="AN512" s="84"/>
      <c r="AO512" s="82"/>
      <c r="AP512" s="82"/>
      <c r="AQ512" s="82"/>
      <c r="AR512" s="84"/>
      <c r="AS512" s="82"/>
      <c r="AT512" s="82"/>
      <c r="AU512" s="82"/>
    </row>
    <row r="513" spans="1:47" ht="15.75" customHeight="1">
      <c r="A513" s="82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  <c r="AD513" s="83"/>
      <c r="AE513" s="83"/>
      <c r="AF513" s="83"/>
      <c r="AG513" s="83"/>
      <c r="AH513" s="83"/>
      <c r="AI513" s="83"/>
      <c r="AJ513" s="83"/>
      <c r="AK513" s="83"/>
      <c r="AL513" s="84"/>
      <c r="AM513" s="84"/>
      <c r="AN513" s="84"/>
      <c r="AO513" s="82"/>
      <c r="AP513" s="82"/>
      <c r="AQ513" s="82"/>
      <c r="AR513" s="84"/>
      <c r="AS513" s="82"/>
      <c r="AT513" s="82"/>
      <c r="AU513" s="82"/>
    </row>
    <row r="514" spans="1:47" ht="15.75" customHeight="1">
      <c r="A514" s="82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  <c r="AD514" s="83"/>
      <c r="AE514" s="83"/>
      <c r="AF514" s="83"/>
      <c r="AG514" s="83"/>
      <c r="AH514" s="83"/>
      <c r="AI514" s="83"/>
      <c r="AJ514" s="83"/>
      <c r="AK514" s="83"/>
      <c r="AL514" s="84"/>
      <c r="AM514" s="84"/>
      <c r="AN514" s="84"/>
      <c r="AO514" s="82"/>
      <c r="AP514" s="82"/>
      <c r="AQ514" s="82"/>
      <c r="AR514" s="84"/>
      <c r="AS514" s="82"/>
      <c r="AT514" s="82"/>
      <c r="AU514" s="82"/>
    </row>
    <row r="515" spans="1:47" ht="15.75" customHeight="1">
      <c r="A515" s="82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  <c r="AD515" s="83"/>
      <c r="AE515" s="83"/>
      <c r="AF515" s="83"/>
      <c r="AG515" s="83"/>
      <c r="AH515" s="83"/>
      <c r="AI515" s="83"/>
      <c r="AJ515" s="83"/>
      <c r="AK515" s="83"/>
      <c r="AL515" s="84"/>
      <c r="AM515" s="84"/>
      <c r="AN515" s="84"/>
      <c r="AO515" s="82"/>
      <c r="AP515" s="82"/>
      <c r="AQ515" s="82"/>
      <c r="AR515" s="84"/>
      <c r="AS515" s="82"/>
      <c r="AT515" s="82"/>
      <c r="AU515" s="82"/>
    </row>
    <row r="516" spans="1:47" ht="15.75" customHeight="1">
      <c r="A516" s="82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  <c r="AD516" s="83"/>
      <c r="AE516" s="83"/>
      <c r="AF516" s="83"/>
      <c r="AG516" s="83"/>
      <c r="AH516" s="83"/>
      <c r="AI516" s="83"/>
      <c r="AJ516" s="83"/>
      <c r="AK516" s="83"/>
      <c r="AL516" s="84"/>
      <c r="AM516" s="84"/>
      <c r="AN516" s="84"/>
      <c r="AO516" s="82"/>
      <c r="AP516" s="82"/>
      <c r="AQ516" s="82"/>
      <c r="AR516" s="84"/>
      <c r="AS516" s="82"/>
      <c r="AT516" s="82"/>
      <c r="AU516" s="82"/>
    </row>
    <row r="517" spans="1:47" ht="15.75" customHeight="1">
      <c r="A517" s="82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  <c r="AD517" s="83"/>
      <c r="AE517" s="83"/>
      <c r="AF517" s="83"/>
      <c r="AG517" s="83"/>
      <c r="AH517" s="83"/>
      <c r="AI517" s="83"/>
      <c r="AJ517" s="83"/>
      <c r="AK517" s="83"/>
      <c r="AL517" s="84"/>
      <c r="AM517" s="84"/>
      <c r="AN517" s="84"/>
      <c r="AO517" s="82"/>
      <c r="AP517" s="82"/>
      <c r="AQ517" s="82"/>
      <c r="AR517" s="84"/>
      <c r="AS517" s="82"/>
      <c r="AT517" s="82"/>
      <c r="AU517" s="82"/>
    </row>
    <row r="518" spans="1:47" ht="15.75" customHeight="1">
      <c r="A518" s="82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  <c r="AD518" s="83"/>
      <c r="AE518" s="83"/>
      <c r="AF518" s="83"/>
      <c r="AG518" s="83"/>
      <c r="AH518" s="83"/>
      <c r="AI518" s="83"/>
      <c r="AJ518" s="83"/>
      <c r="AK518" s="83"/>
      <c r="AL518" s="84"/>
      <c r="AM518" s="84"/>
      <c r="AN518" s="84"/>
      <c r="AO518" s="82"/>
      <c r="AP518" s="82"/>
      <c r="AQ518" s="82"/>
      <c r="AR518" s="84"/>
      <c r="AS518" s="82"/>
      <c r="AT518" s="82"/>
      <c r="AU518" s="82"/>
    </row>
    <row r="519" spans="1:47" ht="15.75" customHeight="1">
      <c r="A519" s="82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  <c r="AD519" s="83"/>
      <c r="AE519" s="83"/>
      <c r="AF519" s="83"/>
      <c r="AG519" s="83"/>
      <c r="AH519" s="83"/>
      <c r="AI519" s="83"/>
      <c r="AJ519" s="83"/>
      <c r="AK519" s="83"/>
      <c r="AL519" s="84"/>
      <c r="AM519" s="84"/>
      <c r="AN519" s="84"/>
      <c r="AO519" s="82"/>
      <c r="AP519" s="82"/>
      <c r="AQ519" s="82"/>
      <c r="AR519" s="84"/>
      <c r="AS519" s="82"/>
      <c r="AT519" s="82"/>
      <c r="AU519" s="82"/>
    </row>
    <row r="520" spans="1:47" ht="15.75" customHeight="1">
      <c r="A520" s="82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  <c r="AD520" s="83"/>
      <c r="AE520" s="83"/>
      <c r="AF520" s="83"/>
      <c r="AG520" s="83"/>
      <c r="AH520" s="83"/>
      <c r="AI520" s="83"/>
      <c r="AJ520" s="83"/>
      <c r="AK520" s="83"/>
      <c r="AL520" s="84"/>
      <c r="AM520" s="84"/>
      <c r="AN520" s="84"/>
      <c r="AO520" s="82"/>
      <c r="AP520" s="82"/>
      <c r="AQ520" s="82"/>
      <c r="AR520" s="84"/>
      <c r="AS520" s="82"/>
      <c r="AT520" s="82"/>
      <c r="AU520" s="82"/>
    </row>
    <row r="521" spans="1:47" ht="15.75" customHeight="1">
      <c r="A521" s="82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  <c r="AD521" s="83"/>
      <c r="AE521" s="83"/>
      <c r="AF521" s="83"/>
      <c r="AG521" s="83"/>
      <c r="AH521" s="83"/>
      <c r="AI521" s="83"/>
      <c r="AJ521" s="83"/>
      <c r="AK521" s="83"/>
      <c r="AL521" s="84"/>
      <c r="AM521" s="84"/>
      <c r="AN521" s="84"/>
      <c r="AO521" s="82"/>
      <c r="AP521" s="82"/>
      <c r="AQ521" s="82"/>
      <c r="AR521" s="84"/>
      <c r="AS521" s="82"/>
      <c r="AT521" s="82"/>
      <c r="AU521" s="82"/>
    </row>
    <row r="522" spans="1:47" ht="15.75" customHeight="1">
      <c r="A522" s="82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  <c r="AD522" s="83"/>
      <c r="AE522" s="83"/>
      <c r="AF522" s="83"/>
      <c r="AG522" s="83"/>
      <c r="AH522" s="83"/>
      <c r="AI522" s="83"/>
      <c r="AJ522" s="83"/>
      <c r="AK522" s="83"/>
      <c r="AL522" s="84"/>
      <c r="AM522" s="84"/>
      <c r="AN522" s="84"/>
      <c r="AO522" s="82"/>
      <c r="AP522" s="82"/>
      <c r="AQ522" s="82"/>
      <c r="AR522" s="84"/>
      <c r="AS522" s="82"/>
      <c r="AT522" s="82"/>
      <c r="AU522" s="82"/>
    </row>
    <row r="523" spans="1:47" ht="15.75" customHeight="1">
      <c r="A523" s="82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  <c r="AD523" s="83"/>
      <c r="AE523" s="83"/>
      <c r="AF523" s="83"/>
      <c r="AG523" s="83"/>
      <c r="AH523" s="83"/>
      <c r="AI523" s="83"/>
      <c r="AJ523" s="83"/>
      <c r="AK523" s="83"/>
      <c r="AL523" s="84"/>
      <c r="AM523" s="84"/>
      <c r="AN523" s="84"/>
      <c r="AO523" s="82"/>
      <c r="AP523" s="82"/>
      <c r="AQ523" s="82"/>
      <c r="AR523" s="84"/>
      <c r="AS523" s="82"/>
      <c r="AT523" s="82"/>
      <c r="AU523" s="82"/>
    </row>
    <row r="524" spans="1:47" ht="15.75" customHeight="1">
      <c r="A524" s="82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  <c r="AD524" s="83"/>
      <c r="AE524" s="83"/>
      <c r="AF524" s="83"/>
      <c r="AG524" s="83"/>
      <c r="AH524" s="83"/>
      <c r="AI524" s="83"/>
      <c r="AJ524" s="83"/>
      <c r="AK524" s="83"/>
      <c r="AL524" s="84"/>
      <c r="AM524" s="84"/>
      <c r="AN524" s="84"/>
      <c r="AO524" s="82"/>
      <c r="AP524" s="82"/>
      <c r="AQ524" s="82"/>
      <c r="AR524" s="84"/>
      <c r="AS524" s="82"/>
      <c r="AT524" s="82"/>
      <c r="AU524" s="82"/>
    </row>
    <row r="525" spans="1:47" ht="15.75" customHeight="1">
      <c r="A525" s="82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  <c r="AD525" s="83"/>
      <c r="AE525" s="83"/>
      <c r="AF525" s="83"/>
      <c r="AG525" s="83"/>
      <c r="AH525" s="83"/>
      <c r="AI525" s="83"/>
      <c r="AJ525" s="83"/>
      <c r="AK525" s="83"/>
      <c r="AL525" s="84"/>
      <c r="AM525" s="84"/>
      <c r="AN525" s="84"/>
      <c r="AO525" s="82"/>
      <c r="AP525" s="82"/>
      <c r="AQ525" s="82"/>
      <c r="AR525" s="84"/>
      <c r="AS525" s="82"/>
      <c r="AT525" s="82"/>
      <c r="AU525" s="82"/>
    </row>
    <row r="526" spans="1:47" ht="15.75" customHeight="1">
      <c r="A526" s="82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  <c r="AD526" s="83"/>
      <c r="AE526" s="83"/>
      <c r="AF526" s="83"/>
      <c r="AG526" s="83"/>
      <c r="AH526" s="83"/>
      <c r="AI526" s="83"/>
      <c r="AJ526" s="83"/>
      <c r="AK526" s="83"/>
      <c r="AL526" s="84"/>
      <c r="AM526" s="84"/>
      <c r="AN526" s="84"/>
      <c r="AO526" s="82"/>
      <c r="AP526" s="82"/>
      <c r="AQ526" s="82"/>
      <c r="AR526" s="84"/>
      <c r="AS526" s="82"/>
      <c r="AT526" s="82"/>
      <c r="AU526" s="82"/>
    </row>
    <row r="527" spans="1:47" ht="15.75" customHeight="1">
      <c r="A527" s="82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  <c r="AD527" s="83"/>
      <c r="AE527" s="83"/>
      <c r="AF527" s="83"/>
      <c r="AG527" s="83"/>
      <c r="AH527" s="83"/>
      <c r="AI527" s="83"/>
      <c r="AJ527" s="83"/>
      <c r="AK527" s="83"/>
      <c r="AL527" s="84"/>
      <c r="AM527" s="84"/>
      <c r="AN527" s="84"/>
      <c r="AO527" s="82"/>
      <c r="AP527" s="82"/>
      <c r="AQ527" s="82"/>
      <c r="AR527" s="84"/>
      <c r="AS527" s="82"/>
      <c r="AT527" s="82"/>
      <c r="AU527" s="82"/>
    </row>
    <row r="528" spans="1:47" ht="15.75" customHeight="1">
      <c r="A528" s="82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  <c r="AD528" s="83"/>
      <c r="AE528" s="83"/>
      <c r="AF528" s="83"/>
      <c r="AG528" s="83"/>
      <c r="AH528" s="83"/>
      <c r="AI528" s="83"/>
      <c r="AJ528" s="83"/>
      <c r="AK528" s="83"/>
      <c r="AL528" s="84"/>
      <c r="AM528" s="84"/>
      <c r="AN528" s="84"/>
      <c r="AO528" s="82"/>
      <c r="AP528" s="82"/>
      <c r="AQ528" s="82"/>
      <c r="AR528" s="84"/>
      <c r="AS528" s="82"/>
      <c r="AT528" s="82"/>
      <c r="AU528" s="82"/>
    </row>
    <row r="529" spans="1:47" ht="15.75" customHeight="1">
      <c r="A529" s="82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  <c r="AD529" s="83"/>
      <c r="AE529" s="83"/>
      <c r="AF529" s="83"/>
      <c r="AG529" s="83"/>
      <c r="AH529" s="83"/>
      <c r="AI529" s="83"/>
      <c r="AJ529" s="83"/>
      <c r="AK529" s="83"/>
      <c r="AL529" s="84"/>
      <c r="AM529" s="84"/>
      <c r="AN529" s="84"/>
      <c r="AO529" s="82"/>
      <c r="AP529" s="82"/>
      <c r="AQ529" s="82"/>
      <c r="AR529" s="84"/>
      <c r="AS529" s="82"/>
      <c r="AT529" s="82"/>
      <c r="AU529" s="82"/>
    </row>
    <row r="530" spans="1:47" ht="15.75" customHeight="1">
      <c r="A530" s="82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  <c r="AD530" s="83"/>
      <c r="AE530" s="83"/>
      <c r="AF530" s="83"/>
      <c r="AG530" s="83"/>
      <c r="AH530" s="83"/>
      <c r="AI530" s="83"/>
      <c r="AJ530" s="83"/>
      <c r="AK530" s="83"/>
      <c r="AL530" s="84"/>
      <c r="AM530" s="84"/>
      <c r="AN530" s="84"/>
      <c r="AO530" s="82"/>
      <c r="AP530" s="82"/>
      <c r="AQ530" s="82"/>
      <c r="AR530" s="84"/>
      <c r="AS530" s="82"/>
      <c r="AT530" s="82"/>
      <c r="AU530" s="82"/>
    </row>
    <row r="531" spans="1:47" ht="15.75" customHeight="1">
      <c r="A531" s="82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83"/>
      <c r="AF531" s="83"/>
      <c r="AG531" s="83"/>
      <c r="AH531" s="83"/>
      <c r="AI531" s="83"/>
      <c r="AJ531" s="83"/>
      <c r="AK531" s="83"/>
      <c r="AL531" s="84"/>
      <c r="AM531" s="84"/>
      <c r="AN531" s="84"/>
      <c r="AO531" s="82"/>
      <c r="AP531" s="82"/>
      <c r="AQ531" s="82"/>
      <c r="AR531" s="84"/>
      <c r="AS531" s="82"/>
      <c r="AT531" s="82"/>
      <c r="AU531" s="82"/>
    </row>
    <row r="532" spans="1:47" ht="15.75" customHeight="1">
      <c r="A532" s="82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  <c r="AD532" s="83"/>
      <c r="AE532" s="83"/>
      <c r="AF532" s="83"/>
      <c r="AG532" s="83"/>
      <c r="AH532" s="83"/>
      <c r="AI532" s="83"/>
      <c r="AJ532" s="83"/>
      <c r="AK532" s="83"/>
      <c r="AL532" s="84"/>
      <c r="AM532" s="84"/>
      <c r="AN532" s="84"/>
      <c r="AO532" s="82"/>
      <c r="AP532" s="82"/>
      <c r="AQ532" s="82"/>
      <c r="AR532" s="84"/>
      <c r="AS532" s="82"/>
      <c r="AT532" s="82"/>
      <c r="AU532" s="82"/>
    </row>
    <row r="533" spans="1:47" ht="15.75" customHeight="1">
      <c r="A533" s="82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  <c r="AD533" s="83"/>
      <c r="AE533" s="83"/>
      <c r="AF533" s="83"/>
      <c r="AG533" s="83"/>
      <c r="AH533" s="83"/>
      <c r="AI533" s="83"/>
      <c r="AJ533" s="83"/>
      <c r="AK533" s="83"/>
      <c r="AL533" s="84"/>
      <c r="AM533" s="84"/>
      <c r="AN533" s="84"/>
      <c r="AO533" s="82"/>
      <c r="AP533" s="82"/>
      <c r="AQ533" s="82"/>
      <c r="AR533" s="84"/>
      <c r="AS533" s="82"/>
      <c r="AT533" s="82"/>
      <c r="AU533" s="82"/>
    </row>
    <row r="534" spans="1:47" ht="15.75" customHeight="1">
      <c r="A534" s="82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  <c r="AD534" s="83"/>
      <c r="AE534" s="83"/>
      <c r="AF534" s="83"/>
      <c r="AG534" s="83"/>
      <c r="AH534" s="83"/>
      <c r="AI534" s="83"/>
      <c r="AJ534" s="83"/>
      <c r="AK534" s="83"/>
      <c r="AL534" s="84"/>
      <c r="AM534" s="84"/>
      <c r="AN534" s="84"/>
      <c r="AO534" s="82"/>
      <c r="AP534" s="82"/>
      <c r="AQ534" s="82"/>
      <c r="AR534" s="84"/>
      <c r="AS534" s="82"/>
      <c r="AT534" s="82"/>
      <c r="AU534" s="82"/>
    </row>
    <row r="535" spans="1:47" ht="15.75" customHeight="1">
      <c r="A535" s="82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  <c r="AD535" s="83"/>
      <c r="AE535" s="83"/>
      <c r="AF535" s="83"/>
      <c r="AG535" s="83"/>
      <c r="AH535" s="83"/>
      <c r="AI535" s="83"/>
      <c r="AJ535" s="83"/>
      <c r="AK535" s="83"/>
      <c r="AL535" s="84"/>
      <c r="AM535" s="84"/>
      <c r="AN535" s="84"/>
      <c r="AO535" s="82"/>
      <c r="AP535" s="82"/>
      <c r="AQ535" s="82"/>
      <c r="AR535" s="84"/>
      <c r="AS535" s="82"/>
      <c r="AT535" s="82"/>
      <c r="AU535" s="82"/>
    </row>
    <row r="536" spans="1:47" ht="15.75" customHeight="1">
      <c r="A536" s="82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  <c r="AD536" s="83"/>
      <c r="AE536" s="83"/>
      <c r="AF536" s="83"/>
      <c r="AG536" s="83"/>
      <c r="AH536" s="83"/>
      <c r="AI536" s="83"/>
      <c r="AJ536" s="83"/>
      <c r="AK536" s="83"/>
      <c r="AL536" s="84"/>
      <c r="AM536" s="84"/>
      <c r="AN536" s="84"/>
      <c r="AO536" s="82"/>
      <c r="AP536" s="82"/>
      <c r="AQ536" s="82"/>
      <c r="AR536" s="84"/>
      <c r="AS536" s="82"/>
      <c r="AT536" s="82"/>
      <c r="AU536" s="82"/>
    </row>
    <row r="537" spans="1:47" ht="15.75" customHeight="1">
      <c r="A537" s="82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  <c r="AD537" s="83"/>
      <c r="AE537" s="83"/>
      <c r="AF537" s="83"/>
      <c r="AG537" s="83"/>
      <c r="AH537" s="83"/>
      <c r="AI537" s="83"/>
      <c r="AJ537" s="83"/>
      <c r="AK537" s="83"/>
      <c r="AL537" s="84"/>
      <c r="AM537" s="84"/>
      <c r="AN537" s="84"/>
      <c r="AO537" s="82"/>
      <c r="AP537" s="82"/>
      <c r="AQ537" s="82"/>
      <c r="AR537" s="84"/>
      <c r="AS537" s="82"/>
      <c r="AT537" s="82"/>
      <c r="AU537" s="82"/>
    </row>
    <row r="538" spans="1:47" ht="15.75" customHeight="1">
      <c r="A538" s="82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  <c r="AD538" s="83"/>
      <c r="AE538" s="83"/>
      <c r="AF538" s="83"/>
      <c r="AG538" s="83"/>
      <c r="AH538" s="83"/>
      <c r="AI538" s="83"/>
      <c r="AJ538" s="83"/>
      <c r="AK538" s="83"/>
      <c r="AL538" s="84"/>
      <c r="AM538" s="84"/>
      <c r="AN538" s="84"/>
      <c r="AO538" s="82"/>
      <c r="AP538" s="82"/>
      <c r="AQ538" s="82"/>
      <c r="AR538" s="84"/>
      <c r="AS538" s="82"/>
      <c r="AT538" s="82"/>
      <c r="AU538" s="82"/>
    </row>
    <row r="539" spans="1:47" ht="15.75" customHeight="1">
      <c r="A539" s="82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  <c r="AD539" s="83"/>
      <c r="AE539" s="83"/>
      <c r="AF539" s="83"/>
      <c r="AG539" s="83"/>
      <c r="AH539" s="83"/>
      <c r="AI539" s="83"/>
      <c r="AJ539" s="83"/>
      <c r="AK539" s="83"/>
      <c r="AL539" s="84"/>
      <c r="AM539" s="84"/>
      <c r="AN539" s="84"/>
      <c r="AO539" s="82"/>
      <c r="AP539" s="82"/>
      <c r="AQ539" s="82"/>
      <c r="AR539" s="84"/>
      <c r="AS539" s="82"/>
      <c r="AT539" s="82"/>
      <c r="AU539" s="82"/>
    </row>
    <row r="540" spans="1:47" ht="15.75" customHeight="1">
      <c r="A540" s="82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  <c r="AD540" s="83"/>
      <c r="AE540" s="83"/>
      <c r="AF540" s="83"/>
      <c r="AG540" s="83"/>
      <c r="AH540" s="83"/>
      <c r="AI540" s="83"/>
      <c r="AJ540" s="83"/>
      <c r="AK540" s="83"/>
      <c r="AL540" s="84"/>
      <c r="AM540" s="84"/>
      <c r="AN540" s="84"/>
      <c r="AO540" s="82"/>
      <c r="AP540" s="82"/>
      <c r="AQ540" s="82"/>
      <c r="AR540" s="84"/>
      <c r="AS540" s="82"/>
      <c r="AT540" s="82"/>
      <c r="AU540" s="82"/>
    </row>
    <row r="541" spans="1:47" ht="15.75" customHeight="1">
      <c r="A541" s="82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  <c r="AD541" s="83"/>
      <c r="AE541" s="83"/>
      <c r="AF541" s="83"/>
      <c r="AG541" s="83"/>
      <c r="AH541" s="83"/>
      <c r="AI541" s="83"/>
      <c r="AJ541" s="83"/>
      <c r="AK541" s="83"/>
      <c r="AL541" s="84"/>
      <c r="AM541" s="84"/>
      <c r="AN541" s="84"/>
      <c r="AO541" s="82"/>
      <c r="AP541" s="82"/>
      <c r="AQ541" s="82"/>
      <c r="AR541" s="84"/>
      <c r="AS541" s="82"/>
      <c r="AT541" s="82"/>
      <c r="AU541" s="82"/>
    </row>
    <row r="542" spans="1:47" ht="15.75" customHeight="1">
      <c r="A542" s="82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  <c r="AD542" s="83"/>
      <c r="AE542" s="83"/>
      <c r="AF542" s="83"/>
      <c r="AG542" s="83"/>
      <c r="AH542" s="83"/>
      <c r="AI542" s="83"/>
      <c r="AJ542" s="83"/>
      <c r="AK542" s="83"/>
      <c r="AL542" s="84"/>
      <c r="AM542" s="84"/>
      <c r="AN542" s="84"/>
      <c r="AO542" s="82"/>
      <c r="AP542" s="82"/>
      <c r="AQ542" s="82"/>
      <c r="AR542" s="84"/>
      <c r="AS542" s="82"/>
      <c r="AT542" s="82"/>
      <c r="AU542" s="82"/>
    </row>
    <row r="543" spans="1:47" ht="15.75" customHeight="1">
      <c r="A543" s="82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  <c r="AD543" s="83"/>
      <c r="AE543" s="83"/>
      <c r="AF543" s="83"/>
      <c r="AG543" s="83"/>
      <c r="AH543" s="83"/>
      <c r="AI543" s="83"/>
      <c r="AJ543" s="83"/>
      <c r="AK543" s="83"/>
      <c r="AL543" s="84"/>
      <c r="AM543" s="84"/>
      <c r="AN543" s="84"/>
      <c r="AO543" s="82"/>
      <c r="AP543" s="82"/>
      <c r="AQ543" s="82"/>
      <c r="AR543" s="84"/>
      <c r="AS543" s="82"/>
      <c r="AT543" s="82"/>
      <c r="AU543" s="82"/>
    </row>
    <row r="544" spans="1:47" ht="15.75" customHeight="1">
      <c r="A544" s="82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  <c r="AD544" s="83"/>
      <c r="AE544" s="83"/>
      <c r="AF544" s="83"/>
      <c r="AG544" s="83"/>
      <c r="AH544" s="83"/>
      <c r="AI544" s="83"/>
      <c r="AJ544" s="83"/>
      <c r="AK544" s="83"/>
      <c r="AL544" s="84"/>
      <c r="AM544" s="84"/>
      <c r="AN544" s="84"/>
      <c r="AO544" s="82"/>
      <c r="AP544" s="82"/>
      <c r="AQ544" s="82"/>
      <c r="AR544" s="84"/>
      <c r="AS544" s="82"/>
      <c r="AT544" s="82"/>
      <c r="AU544" s="82"/>
    </row>
    <row r="545" spans="1:47" ht="15.75" customHeight="1">
      <c r="A545" s="82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  <c r="AD545" s="83"/>
      <c r="AE545" s="83"/>
      <c r="AF545" s="83"/>
      <c r="AG545" s="83"/>
      <c r="AH545" s="83"/>
      <c r="AI545" s="83"/>
      <c r="AJ545" s="83"/>
      <c r="AK545" s="83"/>
      <c r="AL545" s="84"/>
      <c r="AM545" s="84"/>
      <c r="AN545" s="84"/>
      <c r="AO545" s="82"/>
      <c r="AP545" s="82"/>
      <c r="AQ545" s="82"/>
      <c r="AR545" s="84"/>
      <c r="AS545" s="82"/>
      <c r="AT545" s="82"/>
      <c r="AU545" s="82"/>
    </row>
    <row r="546" spans="1:47" ht="15.75" customHeight="1">
      <c r="A546" s="82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  <c r="AD546" s="83"/>
      <c r="AE546" s="83"/>
      <c r="AF546" s="83"/>
      <c r="AG546" s="83"/>
      <c r="AH546" s="83"/>
      <c r="AI546" s="83"/>
      <c r="AJ546" s="83"/>
      <c r="AK546" s="83"/>
      <c r="AL546" s="84"/>
      <c r="AM546" s="84"/>
      <c r="AN546" s="84"/>
      <c r="AO546" s="82"/>
      <c r="AP546" s="82"/>
      <c r="AQ546" s="82"/>
      <c r="AR546" s="84"/>
      <c r="AS546" s="82"/>
      <c r="AT546" s="82"/>
      <c r="AU546" s="82"/>
    </row>
    <row r="547" spans="1:47" ht="15.75" customHeight="1">
      <c r="A547" s="82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  <c r="AD547" s="83"/>
      <c r="AE547" s="83"/>
      <c r="AF547" s="83"/>
      <c r="AG547" s="83"/>
      <c r="AH547" s="83"/>
      <c r="AI547" s="83"/>
      <c r="AJ547" s="83"/>
      <c r="AK547" s="83"/>
      <c r="AL547" s="84"/>
      <c r="AM547" s="84"/>
      <c r="AN547" s="84"/>
      <c r="AO547" s="82"/>
      <c r="AP547" s="82"/>
      <c r="AQ547" s="82"/>
      <c r="AR547" s="84"/>
      <c r="AS547" s="82"/>
      <c r="AT547" s="82"/>
      <c r="AU547" s="82"/>
    </row>
    <row r="548" spans="1:47" ht="15.75" customHeight="1">
      <c r="A548" s="82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  <c r="AD548" s="83"/>
      <c r="AE548" s="83"/>
      <c r="AF548" s="83"/>
      <c r="AG548" s="83"/>
      <c r="AH548" s="83"/>
      <c r="AI548" s="83"/>
      <c r="AJ548" s="83"/>
      <c r="AK548" s="83"/>
      <c r="AL548" s="84"/>
      <c r="AM548" s="84"/>
      <c r="AN548" s="84"/>
      <c r="AO548" s="82"/>
      <c r="AP548" s="82"/>
      <c r="AQ548" s="82"/>
      <c r="AR548" s="84"/>
      <c r="AS548" s="82"/>
      <c r="AT548" s="82"/>
      <c r="AU548" s="82"/>
    </row>
    <row r="549" spans="1:47" ht="15.75" customHeight="1">
      <c r="A549" s="82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  <c r="AD549" s="83"/>
      <c r="AE549" s="83"/>
      <c r="AF549" s="83"/>
      <c r="AG549" s="83"/>
      <c r="AH549" s="83"/>
      <c r="AI549" s="83"/>
      <c r="AJ549" s="83"/>
      <c r="AK549" s="83"/>
      <c r="AL549" s="84"/>
      <c r="AM549" s="84"/>
      <c r="AN549" s="84"/>
      <c r="AO549" s="82"/>
      <c r="AP549" s="82"/>
      <c r="AQ549" s="82"/>
      <c r="AR549" s="84"/>
      <c r="AS549" s="82"/>
      <c r="AT549" s="82"/>
      <c r="AU549" s="82"/>
    </row>
    <row r="550" spans="1:47" ht="15.75" customHeight="1">
      <c r="A550" s="82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  <c r="AD550" s="83"/>
      <c r="AE550" s="83"/>
      <c r="AF550" s="83"/>
      <c r="AG550" s="83"/>
      <c r="AH550" s="83"/>
      <c r="AI550" s="83"/>
      <c r="AJ550" s="83"/>
      <c r="AK550" s="83"/>
      <c r="AL550" s="84"/>
      <c r="AM550" s="84"/>
      <c r="AN550" s="84"/>
      <c r="AO550" s="82"/>
      <c r="AP550" s="82"/>
      <c r="AQ550" s="82"/>
      <c r="AR550" s="84"/>
      <c r="AS550" s="82"/>
      <c r="AT550" s="82"/>
      <c r="AU550" s="82"/>
    </row>
    <row r="551" spans="1:47" ht="15.75" customHeight="1">
      <c r="A551" s="82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  <c r="AD551" s="83"/>
      <c r="AE551" s="83"/>
      <c r="AF551" s="83"/>
      <c r="AG551" s="83"/>
      <c r="AH551" s="83"/>
      <c r="AI551" s="83"/>
      <c r="AJ551" s="83"/>
      <c r="AK551" s="83"/>
      <c r="AL551" s="84"/>
      <c r="AM551" s="84"/>
      <c r="AN551" s="84"/>
      <c r="AO551" s="82"/>
      <c r="AP551" s="82"/>
      <c r="AQ551" s="82"/>
      <c r="AR551" s="84"/>
      <c r="AS551" s="82"/>
      <c r="AT551" s="82"/>
      <c r="AU551" s="82"/>
    </row>
    <row r="552" spans="1:47" ht="15.75" customHeight="1">
      <c r="A552" s="82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  <c r="AD552" s="83"/>
      <c r="AE552" s="83"/>
      <c r="AF552" s="83"/>
      <c r="AG552" s="83"/>
      <c r="AH552" s="83"/>
      <c r="AI552" s="83"/>
      <c r="AJ552" s="83"/>
      <c r="AK552" s="83"/>
      <c r="AL552" s="84"/>
      <c r="AM552" s="84"/>
      <c r="AN552" s="84"/>
      <c r="AO552" s="82"/>
      <c r="AP552" s="82"/>
      <c r="AQ552" s="82"/>
      <c r="AR552" s="84"/>
      <c r="AS552" s="82"/>
      <c r="AT552" s="82"/>
      <c r="AU552" s="82"/>
    </row>
    <row r="553" spans="1:47" ht="15.75" customHeight="1">
      <c r="A553" s="82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  <c r="AD553" s="83"/>
      <c r="AE553" s="83"/>
      <c r="AF553" s="83"/>
      <c r="AG553" s="83"/>
      <c r="AH553" s="83"/>
      <c r="AI553" s="83"/>
      <c r="AJ553" s="83"/>
      <c r="AK553" s="83"/>
      <c r="AL553" s="84"/>
      <c r="AM553" s="84"/>
      <c r="AN553" s="84"/>
      <c r="AO553" s="82"/>
      <c r="AP553" s="82"/>
      <c r="AQ553" s="82"/>
      <c r="AR553" s="84"/>
      <c r="AS553" s="82"/>
      <c r="AT553" s="82"/>
      <c r="AU553" s="82"/>
    </row>
    <row r="554" spans="1:47" ht="15.75" customHeight="1">
      <c r="A554" s="82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  <c r="AD554" s="83"/>
      <c r="AE554" s="83"/>
      <c r="AF554" s="83"/>
      <c r="AG554" s="83"/>
      <c r="AH554" s="83"/>
      <c r="AI554" s="83"/>
      <c r="AJ554" s="83"/>
      <c r="AK554" s="83"/>
      <c r="AL554" s="84"/>
      <c r="AM554" s="84"/>
      <c r="AN554" s="84"/>
      <c r="AO554" s="82"/>
      <c r="AP554" s="82"/>
      <c r="AQ554" s="82"/>
      <c r="AR554" s="84"/>
      <c r="AS554" s="82"/>
      <c r="AT554" s="82"/>
      <c r="AU554" s="82"/>
    </row>
    <row r="555" spans="1:47" ht="15.75" customHeight="1">
      <c r="A555" s="82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  <c r="AD555" s="83"/>
      <c r="AE555" s="83"/>
      <c r="AF555" s="83"/>
      <c r="AG555" s="83"/>
      <c r="AH555" s="83"/>
      <c r="AI555" s="83"/>
      <c r="AJ555" s="83"/>
      <c r="AK555" s="83"/>
      <c r="AL555" s="84"/>
      <c r="AM555" s="84"/>
      <c r="AN555" s="84"/>
      <c r="AO555" s="82"/>
      <c r="AP555" s="82"/>
      <c r="AQ555" s="82"/>
      <c r="AR555" s="84"/>
      <c r="AS555" s="82"/>
      <c r="AT555" s="82"/>
      <c r="AU555" s="82"/>
    </row>
    <row r="556" spans="1:47" ht="15.75" customHeight="1">
      <c r="A556" s="82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  <c r="AD556" s="83"/>
      <c r="AE556" s="83"/>
      <c r="AF556" s="83"/>
      <c r="AG556" s="83"/>
      <c r="AH556" s="83"/>
      <c r="AI556" s="83"/>
      <c r="AJ556" s="83"/>
      <c r="AK556" s="83"/>
      <c r="AL556" s="84"/>
      <c r="AM556" s="84"/>
      <c r="AN556" s="84"/>
      <c r="AO556" s="82"/>
      <c r="AP556" s="82"/>
      <c r="AQ556" s="82"/>
      <c r="AR556" s="84"/>
      <c r="AS556" s="82"/>
      <c r="AT556" s="82"/>
      <c r="AU556" s="82"/>
    </row>
    <row r="557" spans="1:47" ht="15.75" customHeight="1">
      <c r="A557" s="82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  <c r="AD557" s="83"/>
      <c r="AE557" s="83"/>
      <c r="AF557" s="83"/>
      <c r="AG557" s="83"/>
      <c r="AH557" s="83"/>
      <c r="AI557" s="83"/>
      <c r="AJ557" s="83"/>
      <c r="AK557" s="83"/>
      <c r="AL557" s="84"/>
      <c r="AM557" s="84"/>
      <c r="AN557" s="84"/>
      <c r="AO557" s="82"/>
      <c r="AP557" s="82"/>
      <c r="AQ557" s="82"/>
      <c r="AR557" s="84"/>
      <c r="AS557" s="82"/>
      <c r="AT557" s="82"/>
      <c r="AU557" s="82"/>
    </row>
    <row r="558" spans="1:47" ht="15.75" customHeight="1">
      <c r="A558" s="82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  <c r="AD558" s="83"/>
      <c r="AE558" s="83"/>
      <c r="AF558" s="83"/>
      <c r="AG558" s="83"/>
      <c r="AH558" s="83"/>
      <c r="AI558" s="83"/>
      <c r="AJ558" s="83"/>
      <c r="AK558" s="83"/>
      <c r="AL558" s="84"/>
      <c r="AM558" s="84"/>
      <c r="AN558" s="84"/>
      <c r="AO558" s="82"/>
      <c r="AP558" s="82"/>
      <c r="AQ558" s="82"/>
      <c r="AR558" s="84"/>
      <c r="AS558" s="82"/>
      <c r="AT558" s="82"/>
      <c r="AU558" s="82"/>
    </row>
    <row r="559" spans="1:47" ht="15.75" customHeight="1">
      <c r="A559" s="82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  <c r="AD559" s="83"/>
      <c r="AE559" s="83"/>
      <c r="AF559" s="83"/>
      <c r="AG559" s="83"/>
      <c r="AH559" s="83"/>
      <c r="AI559" s="83"/>
      <c r="AJ559" s="83"/>
      <c r="AK559" s="83"/>
      <c r="AL559" s="84"/>
      <c r="AM559" s="84"/>
      <c r="AN559" s="84"/>
      <c r="AO559" s="82"/>
      <c r="AP559" s="82"/>
      <c r="AQ559" s="82"/>
      <c r="AR559" s="84"/>
      <c r="AS559" s="82"/>
      <c r="AT559" s="82"/>
      <c r="AU559" s="82"/>
    </row>
    <row r="560" spans="1:47" ht="15.75" customHeight="1">
      <c r="A560" s="82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  <c r="AD560" s="83"/>
      <c r="AE560" s="83"/>
      <c r="AF560" s="83"/>
      <c r="AG560" s="83"/>
      <c r="AH560" s="83"/>
      <c r="AI560" s="83"/>
      <c r="AJ560" s="83"/>
      <c r="AK560" s="83"/>
      <c r="AL560" s="84"/>
      <c r="AM560" s="84"/>
      <c r="AN560" s="84"/>
      <c r="AO560" s="82"/>
      <c r="AP560" s="82"/>
      <c r="AQ560" s="82"/>
      <c r="AR560" s="84"/>
      <c r="AS560" s="82"/>
      <c r="AT560" s="82"/>
      <c r="AU560" s="82"/>
    </row>
    <row r="561" spans="1:47" ht="15.75" customHeight="1">
      <c r="A561" s="82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  <c r="AD561" s="83"/>
      <c r="AE561" s="83"/>
      <c r="AF561" s="83"/>
      <c r="AG561" s="83"/>
      <c r="AH561" s="83"/>
      <c r="AI561" s="83"/>
      <c r="AJ561" s="83"/>
      <c r="AK561" s="83"/>
      <c r="AL561" s="84"/>
      <c r="AM561" s="84"/>
      <c r="AN561" s="84"/>
      <c r="AO561" s="82"/>
      <c r="AP561" s="82"/>
      <c r="AQ561" s="82"/>
      <c r="AR561" s="84"/>
      <c r="AS561" s="82"/>
      <c r="AT561" s="82"/>
      <c r="AU561" s="82"/>
    </row>
    <row r="562" spans="1:47" ht="15.75" customHeight="1">
      <c r="A562" s="82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  <c r="AD562" s="83"/>
      <c r="AE562" s="83"/>
      <c r="AF562" s="83"/>
      <c r="AG562" s="83"/>
      <c r="AH562" s="83"/>
      <c r="AI562" s="83"/>
      <c r="AJ562" s="83"/>
      <c r="AK562" s="83"/>
      <c r="AL562" s="84"/>
      <c r="AM562" s="84"/>
      <c r="AN562" s="84"/>
      <c r="AO562" s="82"/>
      <c r="AP562" s="82"/>
      <c r="AQ562" s="82"/>
      <c r="AR562" s="84"/>
      <c r="AS562" s="82"/>
      <c r="AT562" s="82"/>
      <c r="AU562" s="82"/>
    </row>
    <row r="563" spans="1:47" ht="15.75" customHeight="1">
      <c r="A563" s="82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  <c r="AD563" s="83"/>
      <c r="AE563" s="83"/>
      <c r="AF563" s="83"/>
      <c r="AG563" s="83"/>
      <c r="AH563" s="83"/>
      <c r="AI563" s="83"/>
      <c r="AJ563" s="83"/>
      <c r="AK563" s="83"/>
      <c r="AL563" s="84"/>
      <c r="AM563" s="84"/>
      <c r="AN563" s="84"/>
      <c r="AO563" s="82"/>
      <c r="AP563" s="82"/>
      <c r="AQ563" s="82"/>
      <c r="AR563" s="84"/>
      <c r="AS563" s="82"/>
      <c r="AT563" s="82"/>
      <c r="AU563" s="82"/>
    </row>
    <row r="564" spans="1:47" ht="15.75" customHeight="1">
      <c r="A564" s="82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  <c r="AD564" s="83"/>
      <c r="AE564" s="83"/>
      <c r="AF564" s="83"/>
      <c r="AG564" s="83"/>
      <c r="AH564" s="83"/>
      <c r="AI564" s="83"/>
      <c r="AJ564" s="83"/>
      <c r="AK564" s="83"/>
      <c r="AL564" s="84"/>
      <c r="AM564" s="84"/>
      <c r="AN564" s="84"/>
      <c r="AO564" s="82"/>
      <c r="AP564" s="82"/>
      <c r="AQ564" s="82"/>
      <c r="AR564" s="84"/>
      <c r="AS564" s="82"/>
      <c r="AT564" s="82"/>
      <c r="AU564" s="82"/>
    </row>
    <row r="565" spans="1:47" ht="15.75" customHeight="1">
      <c r="A565" s="82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  <c r="AD565" s="83"/>
      <c r="AE565" s="83"/>
      <c r="AF565" s="83"/>
      <c r="AG565" s="83"/>
      <c r="AH565" s="83"/>
      <c r="AI565" s="83"/>
      <c r="AJ565" s="83"/>
      <c r="AK565" s="83"/>
      <c r="AL565" s="84"/>
      <c r="AM565" s="84"/>
      <c r="AN565" s="84"/>
      <c r="AO565" s="82"/>
      <c r="AP565" s="82"/>
      <c r="AQ565" s="82"/>
      <c r="AR565" s="84"/>
      <c r="AS565" s="82"/>
      <c r="AT565" s="82"/>
      <c r="AU565" s="82"/>
    </row>
    <row r="566" spans="1:47" ht="15.75" customHeight="1">
      <c r="A566" s="82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  <c r="AD566" s="83"/>
      <c r="AE566" s="83"/>
      <c r="AF566" s="83"/>
      <c r="AG566" s="83"/>
      <c r="AH566" s="83"/>
      <c r="AI566" s="83"/>
      <c r="AJ566" s="83"/>
      <c r="AK566" s="83"/>
      <c r="AL566" s="84"/>
      <c r="AM566" s="84"/>
      <c r="AN566" s="84"/>
      <c r="AO566" s="82"/>
      <c r="AP566" s="82"/>
      <c r="AQ566" s="82"/>
      <c r="AR566" s="84"/>
      <c r="AS566" s="82"/>
      <c r="AT566" s="82"/>
      <c r="AU566" s="82"/>
    </row>
    <row r="567" spans="1:47" ht="15.75" customHeight="1">
      <c r="A567" s="82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  <c r="AD567" s="83"/>
      <c r="AE567" s="83"/>
      <c r="AF567" s="83"/>
      <c r="AG567" s="83"/>
      <c r="AH567" s="83"/>
      <c r="AI567" s="83"/>
      <c r="AJ567" s="83"/>
      <c r="AK567" s="83"/>
      <c r="AL567" s="84"/>
      <c r="AM567" s="84"/>
      <c r="AN567" s="84"/>
      <c r="AO567" s="82"/>
      <c r="AP567" s="82"/>
      <c r="AQ567" s="82"/>
      <c r="AR567" s="84"/>
      <c r="AS567" s="82"/>
      <c r="AT567" s="82"/>
      <c r="AU567" s="82"/>
    </row>
    <row r="568" spans="1:47" ht="15.75" customHeight="1">
      <c r="A568" s="82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  <c r="AD568" s="83"/>
      <c r="AE568" s="83"/>
      <c r="AF568" s="83"/>
      <c r="AG568" s="83"/>
      <c r="AH568" s="83"/>
      <c r="AI568" s="83"/>
      <c r="AJ568" s="83"/>
      <c r="AK568" s="83"/>
      <c r="AL568" s="84"/>
      <c r="AM568" s="84"/>
      <c r="AN568" s="84"/>
      <c r="AO568" s="82"/>
      <c r="AP568" s="82"/>
      <c r="AQ568" s="82"/>
      <c r="AR568" s="84"/>
      <c r="AS568" s="82"/>
      <c r="AT568" s="82"/>
      <c r="AU568" s="82"/>
    </row>
    <row r="569" spans="1:47" ht="15.75" customHeight="1">
      <c r="A569" s="82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  <c r="AD569" s="83"/>
      <c r="AE569" s="83"/>
      <c r="AF569" s="83"/>
      <c r="AG569" s="83"/>
      <c r="AH569" s="83"/>
      <c r="AI569" s="83"/>
      <c r="AJ569" s="83"/>
      <c r="AK569" s="83"/>
      <c r="AL569" s="84"/>
      <c r="AM569" s="84"/>
      <c r="AN569" s="84"/>
      <c r="AO569" s="82"/>
      <c r="AP569" s="82"/>
      <c r="AQ569" s="82"/>
      <c r="AR569" s="84"/>
      <c r="AS569" s="82"/>
      <c r="AT569" s="82"/>
      <c r="AU569" s="82"/>
    </row>
    <row r="570" spans="1:47" ht="15.75" customHeight="1">
      <c r="A570" s="82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  <c r="AD570" s="83"/>
      <c r="AE570" s="83"/>
      <c r="AF570" s="83"/>
      <c r="AG570" s="83"/>
      <c r="AH570" s="83"/>
      <c r="AI570" s="83"/>
      <c r="AJ570" s="83"/>
      <c r="AK570" s="83"/>
      <c r="AL570" s="84"/>
      <c r="AM570" s="84"/>
      <c r="AN570" s="84"/>
      <c r="AO570" s="82"/>
      <c r="AP570" s="82"/>
      <c r="AQ570" s="82"/>
      <c r="AR570" s="84"/>
      <c r="AS570" s="82"/>
      <c r="AT570" s="82"/>
      <c r="AU570" s="82"/>
    </row>
    <row r="571" spans="1:47" ht="15.75" customHeight="1">
      <c r="A571" s="82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  <c r="AD571" s="83"/>
      <c r="AE571" s="83"/>
      <c r="AF571" s="83"/>
      <c r="AG571" s="83"/>
      <c r="AH571" s="83"/>
      <c r="AI571" s="83"/>
      <c r="AJ571" s="83"/>
      <c r="AK571" s="83"/>
      <c r="AL571" s="84"/>
      <c r="AM571" s="84"/>
      <c r="AN571" s="84"/>
      <c r="AO571" s="82"/>
      <c r="AP571" s="82"/>
      <c r="AQ571" s="82"/>
      <c r="AR571" s="84"/>
      <c r="AS571" s="82"/>
      <c r="AT571" s="82"/>
      <c r="AU571" s="82"/>
    </row>
    <row r="572" spans="1:47" ht="15.75" customHeight="1">
      <c r="A572" s="82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  <c r="AD572" s="83"/>
      <c r="AE572" s="83"/>
      <c r="AF572" s="83"/>
      <c r="AG572" s="83"/>
      <c r="AH572" s="83"/>
      <c r="AI572" s="83"/>
      <c r="AJ572" s="83"/>
      <c r="AK572" s="83"/>
      <c r="AL572" s="84"/>
      <c r="AM572" s="84"/>
      <c r="AN572" s="84"/>
      <c r="AO572" s="82"/>
      <c r="AP572" s="82"/>
      <c r="AQ572" s="82"/>
      <c r="AR572" s="84"/>
      <c r="AS572" s="82"/>
      <c r="AT572" s="82"/>
      <c r="AU572" s="82"/>
    </row>
    <row r="573" spans="1:47" ht="15.75" customHeight="1">
      <c r="A573" s="82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  <c r="AD573" s="83"/>
      <c r="AE573" s="83"/>
      <c r="AF573" s="83"/>
      <c r="AG573" s="83"/>
      <c r="AH573" s="83"/>
      <c r="AI573" s="83"/>
      <c r="AJ573" s="83"/>
      <c r="AK573" s="83"/>
      <c r="AL573" s="84"/>
      <c r="AM573" s="84"/>
      <c r="AN573" s="84"/>
      <c r="AO573" s="82"/>
      <c r="AP573" s="82"/>
      <c r="AQ573" s="82"/>
      <c r="AR573" s="84"/>
      <c r="AS573" s="82"/>
      <c r="AT573" s="82"/>
      <c r="AU573" s="82"/>
    </row>
    <row r="574" spans="1:47" ht="15.75" customHeight="1">
      <c r="A574" s="82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  <c r="AD574" s="83"/>
      <c r="AE574" s="83"/>
      <c r="AF574" s="83"/>
      <c r="AG574" s="83"/>
      <c r="AH574" s="83"/>
      <c r="AI574" s="83"/>
      <c r="AJ574" s="83"/>
      <c r="AK574" s="83"/>
      <c r="AL574" s="84"/>
      <c r="AM574" s="84"/>
      <c r="AN574" s="84"/>
      <c r="AO574" s="82"/>
      <c r="AP574" s="82"/>
      <c r="AQ574" s="82"/>
      <c r="AR574" s="84"/>
      <c r="AS574" s="82"/>
      <c r="AT574" s="82"/>
      <c r="AU574" s="82"/>
    </row>
    <row r="575" spans="1:47" ht="15.75" customHeight="1">
      <c r="A575" s="82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  <c r="AD575" s="83"/>
      <c r="AE575" s="83"/>
      <c r="AF575" s="83"/>
      <c r="AG575" s="83"/>
      <c r="AH575" s="83"/>
      <c r="AI575" s="83"/>
      <c r="AJ575" s="83"/>
      <c r="AK575" s="83"/>
      <c r="AL575" s="84"/>
      <c r="AM575" s="84"/>
      <c r="AN575" s="84"/>
      <c r="AO575" s="82"/>
      <c r="AP575" s="82"/>
      <c r="AQ575" s="82"/>
      <c r="AR575" s="84"/>
      <c r="AS575" s="82"/>
      <c r="AT575" s="82"/>
      <c r="AU575" s="82"/>
    </row>
    <row r="576" spans="1:47" ht="15.75" customHeight="1">
      <c r="A576" s="82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  <c r="AD576" s="83"/>
      <c r="AE576" s="83"/>
      <c r="AF576" s="83"/>
      <c r="AG576" s="83"/>
      <c r="AH576" s="83"/>
      <c r="AI576" s="83"/>
      <c r="AJ576" s="83"/>
      <c r="AK576" s="83"/>
      <c r="AL576" s="84"/>
      <c r="AM576" s="84"/>
      <c r="AN576" s="84"/>
      <c r="AO576" s="82"/>
      <c r="AP576" s="82"/>
      <c r="AQ576" s="82"/>
      <c r="AR576" s="84"/>
      <c r="AS576" s="82"/>
      <c r="AT576" s="82"/>
      <c r="AU576" s="82"/>
    </row>
    <row r="577" spans="1:47" ht="15.75" customHeight="1">
      <c r="A577" s="82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  <c r="AD577" s="83"/>
      <c r="AE577" s="83"/>
      <c r="AF577" s="83"/>
      <c r="AG577" s="83"/>
      <c r="AH577" s="83"/>
      <c r="AI577" s="83"/>
      <c r="AJ577" s="83"/>
      <c r="AK577" s="83"/>
      <c r="AL577" s="84"/>
      <c r="AM577" s="84"/>
      <c r="AN577" s="84"/>
      <c r="AO577" s="82"/>
      <c r="AP577" s="82"/>
      <c r="AQ577" s="82"/>
      <c r="AR577" s="84"/>
      <c r="AS577" s="82"/>
      <c r="AT577" s="82"/>
      <c r="AU577" s="82"/>
    </row>
    <row r="578" spans="1:47" ht="15.75" customHeight="1">
      <c r="A578" s="82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  <c r="AD578" s="83"/>
      <c r="AE578" s="83"/>
      <c r="AF578" s="83"/>
      <c r="AG578" s="83"/>
      <c r="AH578" s="83"/>
      <c r="AI578" s="83"/>
      <c r="AJ578" s="83"/>
      <c r="AK578" s="83"/>
      <c r="AL578" s="84"/>
      <c r="AM578" s="84"/>
      <c r="AN578" s="84"/>
      <c r="AO578" s="82"/>
      <c r="AP578" s="82"/>
      <c r="AQ578" s="82"/>
      <c r="AR578" s="84"/>
      <c r="AS578" s="82"/>
      <c r="AT578" s="82"/>
      <c r="AU578" s="82"/>
    </row>
    <row r="579" spans="1:47" ht="15.75" customHeight="1">
      <c r="A579" s="82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  <c r="AD579" s="83"/>
      <c r="AE579" s="83"/>
      <c r="AF579" s="83"/>
      <c r="AG579" s="83"/>
      <c r="AH579" s="83"/>
      <c r="AI579" s="83"/>
      <c r="AJ579" s="83"/>
      <c r="AK579" s="83"/>
      <c r="AL579" s="84"/>
      <c r="AM579" s="84"/>
      <c r="AN579" s="84"/>
      <c r="AO579" s="82"/>
      <c r="AP579" s="82"/>
      <c r="AQ579" s="82"/>
      <c r="AR579" s="84"/>
      <c r="AS579" s="82"/>
      <c r="AT579" s="82"/>
      <c r="AU579" s="82"/>
    </row>
    <row r="580" spans="1:47" ht="15.75" customHeight="1">
      <c r="A580" s="82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  <c r="AD580" s="83"/>
      <c r="AE580" s="83"/>
      <c r="AF580" s="83"/>
      <c r="AG580" s="83"/>
      <c r="AH580" s="83"/>
      <c r="AI580" s="83"/>
      <c r="AJ580" s="83"/>
      <c r="AK580" s="83"/>
      <c r="AL580" s="84"/>
      <c r="AM580" s="84"/>
      <c r="AN580" s="84"/>
      <c r="AO580" s="82"/>
      <c r="AP580" s="82"/>
      <c r="AQ580" s="82"/>
      <c r="AR580" s="84"/>
      <c r="AS580" s="82"/>
      <c r="AT580" s="82"/>
      <c r="AU580" s="82"/>
    </row>
    <row r="581" spans="1:47" ht="15.75" customHeight="1">
      <c r="A581" s="82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  <c r="AD581" s="83"/>
      <c r="AE581" s="83"/>
      <c r="AF581" s="83"/>
      <c r="AG581" s="83"/>
      <c r="AH581" s="83"/>
      <c r="AI581" s="83"/>
      <c r="AJ581" s="83"/>
      <c r="AK581" s="83"/>
      <c r="AL581" s="84"/>
      <c r="AM581" s="84"/>
      <c r="AN581" s="84"/>
      <c r="AO581" s="82"/>
      <c r="AP581" s="82"/>
      <c r="AQ581" s="82"/>
      <c r="AR581" s="84"/>
      <c r="AS581" s="82"/>
      <c r="AT581" s="82"/>
      <c r="AU581" s="82"/>
    </row>
    <row r="582" spans="1:47" ht="15.75" customHeight="1">
      <c r="A582" s="82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  <c r="AD582" s="83"/>
      <c r="AE582" s="83"/>
      <c r="AF582" s="83"/>
      <c r="AG582" s="83"/>
      <c r="AH582" s="83"/>
      <c r="AI582" s="83"/>
      <c r="AJ582" s="83"/>
      <c r="AK582" s="83"/>
      <c r="AL582" s="84"/>
      <c r="AM582" s="84"/>
      <c r="AN582" s="84"/>
      <c r="AO582" s="82"/>
      <c r="AP582" s="82"/>
      <c r="AQ582" s="82"/>
      <c r="AR582" s="84"/>
      <c r="AS582" s="82"/>
      <c r="AT582" s="82"/>
      <c r="AU582" s="82"/>
    </row>
    <row r="583" spans="1:47" ht="15.75" customHeight="1">
      <c r="A583" s="82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  <c r="AD583" s="83"/>
      <c r="AE583" s="83"/>
      <c r="AF583" s="83"/>
      <c r="AG583" s="83"/>
      <c r="AH583" s="83"/>
      <c r="AI583" s="83"/>
      <c r="AJ583" s="83"/>
      <c r="AK583" s="83"/>
      <c r="AL583" s="84"/>
      <c r="AM583" s="84"/>
      <c r="AN583" s="84"/>
      <c r="AO583" s="82"/>
      <c r="AP583" s="82"/>
      <c r="AQ583" s="82"/>
      <c r="AR583" s="84"/>
      <c r="AS583" s="82"/>
      <c r="AT583" s="82"/>
      <c r="AU583" s="82"/>
    </row>
    <row r="584" spans="1:47" ht="15.75" customHeight="1">
      <c r="A584" s="82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  <c r="AD584" s="83"/>
      <c r="AE584" s="83"/>
      <c r="AF584" s="83"/>
      <c r="AG584" s="83"/>
      <c r="AH584" s="83"/>
      <c r="AI584" s="83"/>
      <c r="AJ584" s="83"/>
      <c r="AK584" s="83"/>
      <c r="AL584" s="84"/>
      <c r="AM584" s="84"/>
      <c r="AN584" s="84"/>
      <c r="AO584" s="82"/>
      <c r="AP584" s="82"/>
      <c r="AQ584" s="82"/>
      <c r="AR584" s="84"/>
      <c r="AS584" s="82"/>
      <c r="AT584" s="82"/>
      <c r="AU584" s="82"/>
    </row>
    <row r="585" spans="1:47" ht="15.75" customHeight="1">
      <c r="A585" s="82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  <c r="AD585" s="83"/>
      <c r="AE585" s="83"/>
      <c r="AF585" s="83"/>
      <c r="AG585" s="83"/>
      <c r="AH585" s="83"/>
      <c r="AI585" s="83"/>
      <c r="AJ585" s="83"/>
      <c r="AK585" s="83"/>
      <c r="AL585" s="84"/>
      <c r="AM585" s="84"/>
      <c r="AN585" s="84"/>
      <c r="AO585" s="82"/>
      <c r="AP585" s="82"/>
      <c r="AQ585" s="82"/>
      <c r="AR585" s="84"/>
      <c r="AS585" s="82"/>
      <c r="AT585" s="82"/>
      <c r="AU585" s="82"/>
    </row>
    <row r="586" spans="1:47" ht="15.75" customHeight="1">
      <c r="A586" s="82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  <c r="AD586" s="83"/>
      <c r="AE586" s="83"/>
      <c r="AF586" s="83"/>
      <c r="AG586" s="83"/>
      <c r="AH586" s="83"/>
      <c r="AI586" s="83"/>
      <c r="AJ586" s="83"/>
      <c r="AK586" s="83"/>
      <c r="AL586" s="84"/>
      <c r="AM586" s="84"/>
      <c r="AN586" s="84"/>
      <c r="AO586" s="82"/>
      <c r="AP586" s="82"/>
      <c r="AQ586" s="82"/>
      <c r="AR586" s="84"/>
      <c r="AS586" s="82"/>
      <c r="AT586" s="82"/>
      <c r="AU586" s="82"/>
    </row>
    <row r="587" spans="1:47" ht="15.75" customHeight="1">
      <c r="A587" s="82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  <c r="AD587" s="83"/>
      <c r="AE587" s="83"/>
      <c r="AF587" s="83"/>
      <c r="AG587" s="83"/>
      <c r="AH587" s="83"/>
      <c r="AI587" s="83"/>
      <c r="AJ587" s="83"/>
      <c r="AK587" s="83"/>
      <c r="AL587" s="84"/>
      <c r="AM587" s="84"/>
      <c r="AN587" s="84"/>
      <c r="AO587" s="82"/>
      <c r="AP587" s="82"/>
      <c r="AQ587" s="82"/>
      <c r="AR587" s="84"/>
      <c r="AS587" s="82"/>
      <c r="AT587" s="82"/>
      <c r="AU587" s="82"/>
    </row>
    <row r="588" spans="1:47" ht="15.75" customHeight="1">
      <c r="A588" s="82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  <c r="AD588" s="83"/>
      <c r="AE588" s="83"/>
      <c r="AF588" s="83"/>
      <c r="AG588" s="83"/>
      <c r="AH588" s="83"/>
      <c r="AI588" s="83"/>
      <c r="AJ588" s="83"/>
      <c r="AK588" s="83"/>
      <c r="AL588" s="84"/>
      <c r="AM588" s="84"/>
      <c r="AN588" s="84"/>
      <c r="AO588" s="82"/>
      <c r="AP588" s="82"/>
      <c r="AQ588" s="82"/>
      <c r="AR588" s="84"/>
      <c r="AS588" s="82"/>
      <c r="AT588" s="82"/>
      <c r="AU588" s="82"/>
    </row>
    <row r="589" spans="1:47" ht="15.75" customHeight="1">
      <c r="A589" s="82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  <c r="AD589" s="83"/>
      <c r="AE589" s="83"/>
      <c r="AF589" s="83"/>
      <c r="AG589" s="83"/>
      <c r="AH589" s="83"/>
      <c r="AI589" s="83"/>
      <c r="AJ589" s="83"/>
      <c r="AK589" s="83"/>
      <c r="AL589" s="84"/>
      <c r="AM589" s="84"/>
      <c r="AN589" s="84"/>
      <c r="AO589" s="82"/>
      <c r="AP589" s="82"/>
      <c r="AQ589" s="82"/>
      <c r="AR589" s="84"/>
      <c r="AS589" s="82"/>
      <c r="AT589" s="82"/>
      <c r="AU589" s="82"/>
    </row>
    <row r="590" spans="1:47" ht="15.75" customHeight="1">
      <c r="A590" s="82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  <c r="AD590" s="83"/>
      <c r="AE590" s="83"/>
      <c r="AF590" s="83"/>
      <c r="AG590" s="83"/>
      <c r="AH590" s="83"/>
      <c r="AI590" s="83"/>
      <c r="AJ590" s="83"/>
      <c r="AK590" s="83"/>
      <c r="AL590" s="84"/>
      <c r="AM590" s="84"/>
      <c r="AN590" s="84"/>
      <c r="AO590" s="82"/>
      <c r="AP590" s="82"/>
      <c r="AQ590" s="82"/>
      <c r="AR590" s="84"/>
      <c r="AS590" s="82"/>
      <c r="AT590" s="82"/>
      <c r="AU590" s="82"/>
    </row>
    <row r="591" spans="1:47" ht="15.75" customHeight="1">
      <c r="A591" s="82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  <c r="AD591" s="83"/>
      <c r="AE591" s="83"/>
      <c r="AF591" s="83"/>
      <c r="AG591" s="83"/>
      <c r="AH591" s="83"/>
      <c r="AI591" s="83"/>
      <c r="AJ591" s="83"/>
      <c r="AK591" s="83"/>
      <c r="AL591" s="84"/>
      <c r="AM591" s="84"/>
      <c r="AN591" s="84"/>
      <c r="AO591" s="82"/>
      <c r="AP591" s="82"/>
      <c r="AQ591" s="82"/>
      <c r="AR591" s="84"/>
      <c r="AS591" s="82"/>
      <c r="AT591" s="82"/>
      <c r="AU591" s="82"/>
    </row>
    <row r="592" spans="1:47" ht="15.75" customHeight="1">
      <c r="A592" s="82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  <c r="AD592" s="83"/>
      <c r="AE592" s="83"/>
      <c r="AF592" s="83"/>
      <c r="AG592" s="83"/>
      <c r="AH592" s="83"/>
      <c r="AI592" s="83"/>
      <c r="AJ592" s="83"/>
      <c r="AK592" s="83"/>
      <c r="AL592" s="84"/>
      <c r="AM592" s="84"/>
      <c r="AN592" s="84"/>
      <c r="AO592" s="82"/>
      <c r="AP592" s="82"/>
      <c r="AQ592" s="82"/>
      <c r="AR592" s="84"/>
      <c r="AS592" s="82"/>
      <c r="AT592" s="82"/>
      <c r="AU592" s="82"/>
    </row>
    <row r="593" spans="1:47" ht="15.75" customHeight="1">
      <c r="A593" s="82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  <c r="AD593" s="83"/>
      <c r="AE593" s="83"/>
      <c r="AF593" s="83"/>
      <c r="AG593" s="83"/>
      <c r="AH593" s="83"/>
      <c r="AI593" s="83"/>
      <c r="AJ593" s="83"/>
      <c r="AK593" s="83"/>
      <c r="AL593" s="84"/>
      <c r="AM593" s="84"/>
      <c r="AN593" s="84"/>
      <c r="AO593" s="82"/>
      <c r="AP593" s="82"/>
      <c r="AQ593" s="82"/>
      <c r="AR593" s="84"/>
      <c r="AS593" s="82"/>
      <c r="AT593" s="82"/>
      <c r="AU593" s="82"/>
    </row>
    <row r="594" spans="1:47" ht="15.75" customHeight="1">
      <c r="A594" s="82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  <c r="AD594" s="83"/>
      <c r="AE594" s="83"/>
      <c r="AF594" s="83"/>
      <c r="AG594" s="83"/>
      <c r="AH594" s="83"/>
      <c r="AI594" s="83"/>
      <c r="AJ594" s="83"/>
      <c r="AK594" s="83"/>
      <c r="AL594" s="84"/>
      <c r="AM594" s="84"/>
      <c r="AN594" s="84"/>
      <c r="AO594" s="82"/>
      <c r="AP594" s="82"/>
      <c r="AQ594" s="82"/>
      <c r="AR594" s="84"/>
      <c r="AS594" s="82"/>
      <c r="AT594" s="82"/>
      <c r="AU594" s="82"/>
    </row>
    <row r="595" spans="1:47" ht="15.75" customHeight="1">
      <c r="A595" s="82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  <c r="AD595" s="83"/>
      <c r="AE595" s="83"/>
      <c r="AF595" s="83"/>
      <c r="AG595" s="83"/>
      <c r="AH595" s="83"/>
      <c r="AI595" s="83"/>
      <c r="AJ595" s="83"/>
      <c r="AK595" s="83"/>
      <c r="AL595" s="84"/>
      <c r="AM595" s="84"/>
      <c r="AN595" s="84"/>
      <c r="AO595" s="82"/>
      <c r="AP595" s="82"/>
      <c r="AQ595" s="82"/>
      <c r="AR595" s="84"/>
      <c r="AS595" s="82"/>
      <c r="AT595" s="82"/>
      <c r="AU595" s="82"/>
    </row>
    <row r="596" spans="1:47" ht="15.75" customHeight="1">
      <c r="A596" s="82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  <c r="AD596" s="83"/>
      <c r="AE596" s="83"/>
      <c r="AF596" s="83"/>
      <c r="AG596" s="83"/>
      <c r="AH596" s="83"/>
      <c r="AI596" s="83"/>
      <c r="AJ596" s="83"/>
      <c r="AK596" s="83"/>
      <c r="AL596" s="84"/>
      <c r="AM596" s="84"/>
      <c r="AN596" s="84"/>
      <c r="AO596" s="82"/>
      <c r="AP596" s="82"/>
      <c r="AQ596" s="82"/>
      <c r="AR596" s="84"/>
      <c r="AS596" s="82"/>
      <c r="AT596" s="82"/>
      <c r="AU596" s="82"/>
    </row>
    <row r="597" spans="1:47" ht="15.75" customHeight="1">
      <c r="A597" s="82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  <c r="AD597" s="83"/>
      <c r="AE597" s="83"/>
      <c r="AF597" s="83"/>
      <c r="AG597" s="83"/>
      <c r="AH597" s="83"/>
      <c r="AI597" s="83"/>
      <c r="AJ597" s="83"/>
      <c r="AK597" s="83"/>
      <c r="AL597" s="84"/>
      <c r="AM597" s="84"/>
      <c r="AN597" s="84"/>
      <c r="AO597" s="82"/>
      <c r="AP597" s="82"/>
      <c r="AQ597" s="82"/>
      <c r="AR597" s="84"/>
      <c r="AS597" s="82"/>
      <c r="AT597" s="82"/>
      <c r="AU597" s="82"/>
    </row>
    <row r="598" spans="1:47" ht="15.75" customHeight="1">
      <c r="A598" s="82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  <c r="AD598" s="83"/>
      <c r="AE598" s="83"/>
      <c r="AF598" s="83"/>
      <c r="AG598" s="83"/>
      <c r="AH598" s="83"/>
      <c r="AI598" s="83"/>
      <c r="AJ598" s="83"/>
      <c r="AK598" s="83"/>
      <c r="AL598" s="84"/>
      <c r="AM598" s="84"/>
      <c r="AN598" s="84"/>
      <c r="AO598" s="82"/>
      <c r="AP598" s="82"/>
      <c r="AQ598" s="82"/>
      <c r="AR598" s="84"/>
      <c r="AS598" s="82"/>
      <c r="AT598" s="82"/>
      <c r="AU598" s="82"/>
    </row>
    <row r="599" spans="1:47" ht="15.75" customHeight="1">
      <c r="A599" s="82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  <c r="AD599" s="83"/>
      <c r="AE599" s="83"/>
      <c r="AF599" s="83"/>
      <c r="AG599" s="83"/>
      <c r="AH599" s="83"/>
      <c r="AI599" s="83"/>
      <c r="AJ599" s="83"/>
      <c r="AK599" s="83"/>
      <c r="AL599" s="84"/>
      <c r="AM599" s="84"/>
      <c r="AN599" s="84"/>
      <c r="AO599" s="82"/>
      <c r="AP599" s="82"/>
      <c r="AQ599" s="82"/>
      <c r="AR599" s="84"/>
      <c r="AS599" s="82"/>
      <c r="AT599" s="82"/>
      <c r="AU599" s="82"/>
    </row>
    <row r="600" spans="1:47" ht="15.75" customHeight="1">
      <c r="A600" s="82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  <c r="AD600" s="83"/>
      <c r="AE600" s="83"/>
      <c r="AF600" s="83"/>
      <c r="AG600" s="83"/>
      <c r="AH600" s="83"/>
      <c r="AI600" s="83"/>
      <c r="AJ600" s="83"/>
      <c r="AK600" s="83"/>
      <c r="AL600" s="84"/>
      <c r="AM600" s="84"/>
      <c r="AN600" s="84"/>
      <c r="AO600" s="82"/>
      <c r="AP600" s="82"/>
      <c r="AQ600" s="82"/>
      <c r="AR600" s="84"/>
      <c r="AS600" s="82"/>
      <c r="AT600" s="82"/>
      <c r="AU600" s="82"/>
    </row>
    <row r="601" spans="1:47" ht="15.75" customHeight="1">
      <c r="A601" s="82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  <c r="AD601" s="83"/>
      <c r="AE601" s="83"/>
      <c r="AF601" s="83"/>
      <c r="AG601" s="83"/>
      <c r="AH601" s="83"/>
      <c r="AI601" s="83"/>
      <c r="AJ601" s="83"/>
      <c r="AK601" s="83"/>
      <c r="AL601" s="84"/>
      <c r="AM601" s="84"/>
      <c r="AN601" s="84"/>
      <c r="AO601" s="82"/>
      <c r="AP601" s="82"/>
      <c r="AQ601" s="82"/>
      <c r="AR601" s="84"/>
      <c r="AS601" s="82"/>
      <c r="AT601" s="82"/>
      <c r="AU601" s="82"/>
    </row>
    <row r="602" spans="1:47" ht="15.75" customHeight="1">
      <c r="A602" s="82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  <c r="AD602" s="83"/>
      <c r="AE602" s="83"/>
      <c r="AF602" s="83"/>
      <c r="AG602" s="83"/>
      <c r="AH602" s="83"/>
      <c r="AI602" s="83"/>
      <c r="AJ602" s="83"/>
      <c r="AK602" s="83"/>
      <c r="AL602" s="84"/>
      <c r="AM602" s="84"/>
      <c r="AN602" s="84"/>
      <c r="AO602" s="82"/>
      <c r="AP602" s="82"/>
      <c r="AQ602" s="82"/>
      <c r="AR602" s="84"/>
      <c r="AS602" s="82"/>
      <c r="AT602" s="82"/>
      <c r="AU602" s="82"/>
    </row>
    <row r="603" spans="1:47" ht="15.75" customHeight="1">
      <c r="A603" s="82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  <c r="AD603" s="83"/>
      <c r="AE603" s="83"/>
      <c r="AF603" s="83"/>
      <c r="AG603" s="83"/>
      <c r="AH603" s="83"/>
      <c r="AI603" s="83"/>
      <c r="AJ603" s="83"/>
      <c r="AK603" s="83"/>
      <c r="AL603" s="84"/>
      <c r="AM603" s="84"/>
      <c r="AN603" s="84"/>
      <c r="AO603" s="82"/>
      <c r="AP603" s="82"/>
      <c r="AQ603" s="82"/>
      <c r="AR603" s="84"/>
      <c r="AS603" s="82"/>
      <c r="AT603" s="82"/>
      <c r="AU603" s="82"/>
    </row>
    <row r="604" spans="1:47" ht="15.75" customHeight="1">
      <c r="A604" s="82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  <c r="AD604" s="83"/>
      <c r="AE604" s="83"/>
      <c r="AF604" s="83"/>
      <c r="AG604" s="83"/>
      <c r="AH604" s="83"/>
      <c r="AI604" s="83"/>
      <c r="AJ604" s="83"/>
      <c r="AK604" s="83"/>
      <c r="AL604" s="84"/>
      <c r="AM604" s="84"/>
      <c r="AN604" s="84"/>
      <c r="AO604" s="82"/>
      <c r="AP604" s="82"/>
      <c r="AQ604" s="82"/>
      <c r="AR604" s="84"/>
      <c r="AS604" s="82"/>
      <c r="AT604" s="82"/>
      <c r="AU604" s="82"/>
    </row>
    <row r="605" spans="1:47" ht="15.75" customHeight="1">
      <c r="A605" s="82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  <c r="AD605" s="83"/>
      <c r="AE605" s="83"/>
      <c r="AF605" s="83"/>
      <c r="AG605" s="83"/>
      <c r="AH605" s="83"/>
      <c r="AI605" s="83"/>
      <c r="AJ605" s="83"/>
      <c r="AK605" s="83"/>
      <c r="AL605" s="84"/>
      <c r="AM605" s="84"/>
      <c r="AN605" s="84"/>
      <c r="AO605" s="82"/>
      <c r="AP605" s="82"/>
      <c r="AQ605" s="82"/>
      <c r="AR605" s="84"/>
      <c r="AS605" s="82"/>
      <c r="AT605" s="82"/>
      <c r="AU605" s="82"/>
    </row>
    <row r="606" spans="1:47" ht="15.75" customHeight="1">
      <c r="A606" s="82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  <c r="AD606" s="83"/>
      <c r="AE606" s="83"/>
      <c r="AF606" s="83"/>
      <c r="AG606" s="83"/>
      <c r="AH606" s="83"/>
      <c r="AI606" s="83"/>
      <c r="AJ606" s="83"/>
      <c r="AK606" s="83"/>
      <c r="AL606" s="84"/>
      <c r="AM606" s="84"/>
      <c r="AN606" s="84"/>
      <c r="AO606" s="82"/>
      <c r="AP606" s="82"/>
      <c r="AQ606" s="82"/>
      <c r="AR606" s="84"/>
      <c r="AS606" s="82"/>
      <c r="AT606" s="82"/>
      <c r="AU606" s="82"/>
    </row>
    <row r="607" spans="1:47" ht="15.75" customHeight="1">
      <c r="A607" s="82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  <c r="AD607" s="83"/>
      <c r="AE607" s="83"/>
      <c r="AF607" s="83"/>
      <c r="AG607" s="83"/>
      <c r="AH607" s="83"/>
      <c r="AI607" s="83"/>
      <c r="AJ607" s="83"/>
      <c r="AK607" s="83"/>
      <c r="AL607" s="84"/>
      <c r="AM607" s="84"/>
      <c r="AN607" s="84"/>
      <c r="AO607" s="82"/>
      <c r="AP607" s="82"/>
      <c r="AQ607" s="82"/>
      <c r="AR607" s="84"/>
      <c r="AS607" s="82"/>
      <c r="AT607" s="82"/>
      <c r="AU607" s="82"/>
    </row>
    <row r="608" spans="1:47" ht="15.75" customHeight="1">
      <c r="A608" s="82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  <c r="AD608" s="83"/>
      <c r="AE608" s="83"/>
      <c r="AF608" s="83"/>
      <c r="AG608" s="83"/>
      <c r="AH608" s="83"/>
      <c r="AI608" s="83"/>
      <c r="AJ608" s="83"/>
      <c r="AK608" s="83"/>
      <c r="AL608" s="84"/>
      <c r="AM608" s="84"/>
      <c r="AN608" s="84"/>
      <c r="AO608" s="82"/>
      <c r="AP608" s="82"/>
      <c r="AQ608" s="82"/>
      <c r="AR608" s="84"/>
      <c r="AS608" s="82"/>
      <c r="AT608" s="82"/>
      <c r="AU608" s="82"/>
    </row>
    <row r="609" spans="1:47" ht="15.75" customHeight="1">
      <c r="A609" s="82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  <c r="AD609" s="83"/>
      <c r="AE609" s="83"/>
      <c r="AF609" s="83"/>
      <c r="AG609" s="83"/>
      <c r="AH609" s="83"/>
      <c r="AI609" s="83"/>
      <c r="AJ609" s="83"/>
      <c r="AK609" s="83"/>
      <c r="AL609" s="84"/>
      <c r="AM609" s="84"/>
      <c r="AN609" s="84"/>
      <c r="AO609" s="82"/>
      <c r="AP609" s="82"/>
      <c r="AQ609" s="82"/>
      <c r="AR609" s="84"/>
      <c r="AS609" s="82"/>
      <c r="AT609" s="82"/>
      <c r="AU609" s="82"/>
    </row>
    <row r="610" spans="1:47" ht="15.75" customHeight="1">
      <c r="A610" s="82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  <c r="AD610" s="83"/>
      <c r="AE610" s="83"/>
      <c r="AF610" s="83"/>
      <c r="AG610" s="83"/>
      <c r="AH610" s="83"/>
      <c r="AI610" s="83"/>
      <c r="AJ610" s="83"/>
      <c r="AK610" s="83"/>
      <c r="AL610" s="84"/>
      <c r="AM610" s="84"/>
      <c r="AN610" s="84"/>
      <c r="AO610" s="82"/>
      <c r="AP610" s="82"/>
      <c r="AQ610" s="82"/>
      <c r="AR610" s="84"/>
      <c r="AS610" s="82"/>
      <c r="AT610" s="82"/>
      <c r="AU610" s="82"/>
    </row>
    <row r="611" spans="1:47" ht="15.75" customHeight="1">
      <c r="A611" s="82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  <c r="AD611" s="83"/>
      <c r="AE611" s="83"/>
      <c r="AF611" s="83"/>
      <c r="AG611" s="83"/>
      <c r="AH611" s="83"/>
      <c r="AI611" s="83"/>
      <c r="AJ611" s="83"/>
      <c r="AK611" s="83"/>
      <c r="AL611" s="84"/>
      <c r="AM611" s="84"/>
      <c r="AN611" s="84"/>
      <c r="AO611" s="82"/>
      <c r="AP611" s="82"/>
      <c r="AQ611" s="82"/>
      <c r="AR611" s="84"/>
      <c r="AS611" s="82"/>
      <c r="AT611" s="82"/>
      <c r="AU611" s="82"/>
    </row>
    <row r="612" spans="1:47" ht="15.75" customHeight="1">
      <c r="A612" s="82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  <c r="AD612" s="83"/>
      <c r="AE612" s="83"/>
      <c r="AF612" s="83"/>
      <c r="AG612" s="83"/>
      <c r="AH612" s="83"/>
      <c r="AI612" s="83"/>
      <c r="AJ612" s="83"/>
      <c r="AK612" s="83"/>
      <c r="AL612" s="84"/>
      <c r="AM612" s="84"/>
      <c r="AN612" s="84"/>
      <c r="AO612" s="82"/>
      <c r="AP612" s="82"/>
      <c r="AQ612" s="82"/>
      <c r="AR612" s="84"/>
      <c r="AS612" s="82"/>
      <c r="AT612" s="82"/>
      <c r="AU612" s="82"/>
    </row>
    <row r="613" spans="1:47" ht="15.75" customHeight="1">
      <c r="A613" s="82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  <c r="AD613" s="83"/>
      <c r="AE613" s="83"/>
      <c r="AF613" s="83"/>
      <c r="AG613" s="83"/>
      <c r="AH613" s="83"/>
      <c r="AI613" s="83"/>
      <c r="AJ613" s="83"/>
      <c r="AK613" s="83"/>
      <c r="AL613" s="84"/>
      <c r="AM613" s="84"/>
      <c r="AN613" s="84"/>
      <c r="AO613" s="82"/>
      <c r="AP613" s="82"/>
      <c r="AQ613" s="82"/>
      <c r="AR613" s="84"/>
      <c r="AS613" s="82"/>
      <c r="AT613" s="82"/>
      <c r="AU613" s="82"/>
    </row>
    <row r="614" spans="1:47" ht="15.75" customHeight="1">
      <c r="A614" s="82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  <c r="AD614" s="83"/>
      <c r="AE614" s="83"/>
      <c r="AF614" s="83"/>
      <c r="AG614" s="83"/>
      <c r="AH614" s="83"/>
      <c r="AI614" s="83"/>
      <c r="AJ614" s="83"/>
      <c r="AK614" s="83"/>
      <c r="AL614" s="84"/>
      <c r="AM614" s="84"/>
      <c r="AN614" s="84"/>
      <c r="AO614" s="82"/>
      <c r="AP614" s="82"/>
      <c r="AQ614" s="82"/>
      <c r="AR614" s="84"/>
      <c r="AS614" s="82"/>
      <c r="AT614" s="82"/>
      <c r="AU614" s="82"/>
    </row>
    <row r="615" spans="1:47" ht="15.75" customHeight="1">
      <c r="A615" s="82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  <c r="AD615" s="83"/>
      <c r="AE615" s="83"/>
      <c r="AF615" s="83"/>
      <c r="AG615" s="83"/>
      <c r="AH615" s="83"/>
      <c r="AI615" s="83"/>
      <c r="AJ615" s="83"/>
      <c r="AK615" s="83"/>
      <c r="AL615" s="84"/>
      <c r="AM615" s="84"/>
      <c r="AN615" s="84"/>
      <c r="AO615" s="82"/>
      <c r="AP615" s="82"/>
      <c r="AQ615" s="82"/>
      <c r="AR615" s="84"/>
      <c r="AS615" s="82"/>
      <c r="AT615" s="82"/>
      <c r="AU615" s="82"/>
    </row>
    <row r="616" spans="1:47" ht="15.75" customHeight="1">
      <c r="A616" s="82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  <c r="AD616" s="83"/>
      <c r="AE616" s="83"/>
      <c r="AF616" s="83"/>
      <c r="AG616" s="83"/>
      <c r="AH616" s="83"/>
      <c r="AI616" s="83"/>
      <c r="AJ616" s="83"/>
      <c r="AK616" s="83"/>
      <c r="AL616" s="84"/>
      <c r="AM616" s="84"/>
      <c r="AN616" s="84"/>
      <c r="AO616" s="82"/>
      <c r="AP616" s="82"/>
      <c r="AQ616" s="82"/>
      <c r="AR616" s="84"/>
      <c r="AS616" s="82"/>
      <c r="AT616" s="82"/>
      <c r="AU616" s="82"/>
    </row>
    <row r="617" spans="1:47" ht="15.75" customHeight="1">
      <c r="A617" s="82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  <c r="AD617" s="83"/>
      <c r="AE617" s="83"/>
      <c r="AF617" s="83"/>
      <c r="AG617" s="83"/>
      <c r="AH617" s="83"/>
      <c r="AI617" s="83"/>
      <c r="AJ617" s="83"/>
      <c r="AK617" s="83"/>
      <c r="AL617" s="84"/>
      <c r="AM617" s="84"/>
      <c r="AN617" s="84"/>
      <c r="AO617" s="82"/>
      <c r="AP617" s="82"/>
      <c r="AQ617" s="82"/>
      <c r="AR617" s="84"/>
      <c r="AS617" s="82"/>
      <c r="AT617" s="82"/>
      <c r="AU617" s="82"/>
    </row>
    <row r="618" spans="1:47" ht="15.75" customHeight="1">
      <c r="A618" s="82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  <c r="AD618" s="83"/>
      <c r="AE618" s="83"/>
      <c r="AF618" s="83"/>
      <c r="AG618" s="83"/>
      <c r="AH618" s="83"/>
      <c r="AI618" s="83"/>
      <c r="AJ618" s="83"/>
      <c r="AK618" s="83"/>
      <c r="AL618" s="84"/>
      <c r="AM618" s="84"/>
      <c r="AN618" s="84"/>
      <c r="AO618" s="82"/>
      <c r="AP618" s="82"/>
      <c r="AQ618" s="82"/>
      <c r="AR618" s="84"/>
      <c r="AS618" s="82"/>
      <c r="AT618" s="82"/>
      <c r="AU618" s="82"/>
    </row>
    <row r="619" spans="1:47" ht="15.75" customHeight="1">
      <c r="A619" s="82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  <c r="AD619" s="83"/>
      <c r="AE619" s="83"/>
      <c r="AF619" s="83"/>
      <c r="AG619" s="83"/>
      <c r="AH619" s="83"/>
      <c r="AI619" s="83"/>
      <c r="AJ619" s="83"/>
      <c r="AK619" s="83"/>
      <c r="AL619" s="84"/>
      <c r="AM619" s="84"/>
      <c r="AN619" s="84"/>
      <c r="AO619" s="82"/>
      <c r="AP619" s="82"/>
      <c r="AQ619" s="82"/>
      <c r="AR619" s="84"/>
      <c r="AS619" s="82"/>
      <c r="AT619" s="82"/>
      <c r="AU619" s="82"/>
    </row>
    <row r="620" spans="1:47" ht="15.75" customHeight="1">
      <c r="A620" s="82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  <c r="AD620" s="83"/>
      <c r="AE620" s="83"/>
      <c r="AF620" s="83"/>
      <c r="AG620" s="83"/>
      <c r="AH620" s="83"/>
      <c r="AI620" s="83"/>
      <c r="AJ620" s="83"/>
      <c r="AK620" s="83"/>
      <c r="AL620" s="84"/>
      <c r="AM620" s="84"/>
      <c r="AN620" s="84"/>
      <c r="AO620" s="82"/>
      <c r="AP620" s="82"/>
      <c r="AQ620" s="82"/>
      <c r="AR620" s="84"/>
      <c r="AS620" s="82"/>
      <c r="AT620" s="82"/>
      <c r="AU620" s="82"/>
    </row>
    <row r="621" spans="1:47" ht="15.75" customHeight="1">
      <c r="A621" s="82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  <c r="AD621" s="83"/>
      <c r="AE621" s="83"/>
      <c r="AF621" s="83"/>
      <c r="AG621" s="83"/>
      <c r="AH621" s="83"/>
      <c r="AI621" s="83"/>
      <c r="AJ621" s="83"/>
      <c r="AK621" s="83"/>
      <c r="AL621" s="84"/>
      <c r="AM621" s="84"/>
      <c r="AN621" s="84"/>
      <c r="AO621" s="82"/>
      <c r="AP621" s="82"/>
      <c r="AQ621" s="82"/>
      <c r="AR621" s="84"/>
      <c r="AS621" s="82"/>
      <c r="AT621" s="82"/>
      <c r="AU621" s="82"/>
    </row>
    <row r="622" spans="1:47" ht="15.75" customHeight="1">
      <c r="A622" s="82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  <c r="AD622" s="83"/>
      <c r="AE622" s="83"/>
      <c r="AF622" s="83"/>
      <c r="AG622" s="83"/>
      <c r="AH622" s="83"/>
      <c r="AI622" s="83"/>
      <c r="AJ622" s="83"/>
      <c r="AK622" s="83"/>
      <c r="AL622" s="84"/>
      <c r="AM622" s="84"/>
      <c r="AN622" s="84"/>
      <c r="AO622" s="82"/>
      <c r="AP622" s="82"/>
      <c r="AQ622" s="82"/>
      <c r="AR622" s="84"/>
      <c r="AS622" s="82"/>
      <c r="AT622" s="82"/>
      <c r="AU622" s="82"/>
    </row>
    <row r="623" spans="1:47" ht="15.75" customHeight="1">
      <c r="A623" s="82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  <c r="AD623" s="83"/>
      <c r="AE623" s="83"/>
      <c r="AF623" s="83"/>
      <c r="AG623" s="83"/>
      <c r="AH623" s="83"/>
      <c r="AI623" s="83"/>
      <c r="AJ623" s="83"/>
      <c r="AK623" s="83"/>
      <c r="AL623" s="84"/>
      <c r="AM623" s="84"/>
      <c r="AN623" s="84"/>
      <c r="AO623" s="82"/>
      <c r="AP623" s="82"/>
      <c r="AQ623" s="82"/>
      <c r="AR623" s="84"/>
      <c r="AS623" s="82"/>
      <c r="AT623" s="82"/>
      <c r="AU623" s="82"/>
    </row>
    <row r="624" spans="1:47" ht="15.75" customHeight="1">
      <c r="A624" s="82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  <c r="AD624" s="83"/>
      <c r="AE624" s="83"/>
      <c r="AF624" s="83"/>
      <c r="AG624" s="83"/>
      <c r="AH624" s="83"/>
      <c r="AI624" s="83"/>
      <c r="AJ624" s="83"/>
      <c r="AK624" s="83"/>
      <c r="AL624" s="84"/>
      <c r="AM624" s="84"/>
      <c r="AN624" s="84"/>
      <c r="AO624" s="82"/>
      <c r="AP624" s="82"/>
      <c r="AQ624" s="82"/>
      <c r="AR624" s="84"/>
      <c r="AS624" s="82"/>
      <c r="AT624" s="82"/>
      <c r="AU624" s="82"/>
    </row>
    <row r="625" spans="1:47" ht="15.75" customHeight="1">
      <c r="A625" s="82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  <c r="AD625" s="83"/>
      <c r="AE625" s="83"/>
      <c r="AF625" s="83"/>
      <c r="AG625" s="83"/>
      <c r="AH625" s="83"/>
      <c r="AI625" s="83"/>
      <c r="AJ625" s="83"/>
      <c r="AK625" s="83"/>
      <c r="AL625" s="84"/>
      <c r="AM625" s="84"/>
      <c r="AN625" s="84"/>
      <c r="AO625" s="82"/>
      <c r="AP625" s="82"/>
      <c r="AQ625" s="82"/>
      <c r="AR625" s="84"/>
      <c r="AS625" s="82"/>
      <c r="AT625" s="82"/>
      <c r="AU625" s="82"/>
    </row>
    <row r="626" spans="1:47" ht="15.75" customHeight="1">
      <c r="A626" s="82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  <c r="AD626" s="83"/>
      <c r="AE626" s="83"/>
      <c r="AF626" s="83"/>
      <c r="AG626" s="83"/>
      <c r="AH626" s="83"/>
      <c r="AI626" s="83"/>
      <c r="AJ626" s="83"/>
      <c r="AK626" s="83"/>
      <c r="AL626" s="84"/>
      <c r="AM626" s="84"/>
      <c r="AN626" s="84"/>
      <c r="AO626" s="82"/>
      <c r="AP626" s="82"/>
      <c r="AQ626" s="82"/>
      <c r="AR626" s="84"/>
      <c r="AS626" s="82"/>
      <c r="AT626" s="82"/>
      <c r="AU626" s="82"/>
    </row>
    <row r="627" spans="1:47" ht="15.75" customHeight="1">
      <c r="A627" s="82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  <c r="AD627" s="83"/>
      <c r="AE627" s="83"/>
      <c r="AF627" s="83"/>
      <c r="AG627" s="83"/>
      <c r="AH627" s="83"/>
      <c r="AI627" s="83"/>
      <c r="AJ627" s="83"/>
      <c r="AK627" s="83"/>
      <c r="AL627" s="84"/>
      <c r="AM627" s="84"/>
      <c r="AN627" s="84"/>
      <c r="AO627" s="82"/>
      <c r="AP627" s="82"/>
      <c r="AQ627" s="82"/>
      <c r="AR627" s="84"/>
      <c r="AS627" s="82"/>
      <c r="AT627" s="82"/>
      <c r="AU627" s="82"/>
    </row>
    <row r="628" spans="1:47" ht="15.75" customHeight="1">
      <c r="A628" s="82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  <c r="AD628" s="83"/>
      <c r="AE628" s="83"/>
      <c r="AF628" s="83"/>
      <c r="AG628" s="83"/>
      <c r="AH628" s="83"/>
      <c r="AI628" s="83"/>
      <c r="AJ628" s="83"/>
      <c r="AK628" s="83"/>
      <c r="AL628" s="84"/>
      <c r="AM628" s="84"/>
      <c r="AN628" s="84"/>
      <c r="AO628" s="82"/>
      <c r="AP628" s="82"/>
      <c r="AQ628" s="82"/>
      <c r="AR628" s="84"/>
      <c r="AS628" s="82"/>
      <c r="AT628" s="82"/>
      <c r="AU628" s="82"/>
    </row>
    <row r="629" spans="1:47" ht="15.75" customHeight="1">
      <c r="A629" s="82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  <c r="AD629" s="83"/>
      <c r="AE629" s="83"/>
      <c r="AF629" s="83"/>
      <c r="AG629" s="83"/>
      <c r="AH629" s="83"/>
      <c r="AI629" s="83"/>
      <c r="AJ629" s="83"/>
      <c r="AK629" s="83"/>
      <c r="AL629" s="84"/>
      <c r="AM629" s="84"/>
      <c r="AN629" s="84"/>
      <c r="AO629" s="82"/>
      <c r="AP629" s="82"/>
      <c r="AQ629" s="82"/>
      <c r="AR629" s="84"/>
      <c r="AS629" s="82"/>
      <c r="AT629" s="82"/>
      <c r="AU629" s="82"/>
    </row>
    <row r="630" spans="1:47" ht="15.75" customHeight="1">
      <c r="A630" s="82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  <c r="AD630" s="83"/>
      <c r="AE630" s="83"/>
      <c r="AF630" s="83"/>
      <c r="AG630" s="83"/>
      <c r="AH630" s="83"/>
      <c r="AI630" s="83"/>
      <c r="AJ630" s="83"/>
      <c r="AK630" s="83"/>
      <c r="AL630" s="84"/>
      <c r="AM630" s="84"/>
      <c r="AN630" s="84"/>
      <c r="AO630" s="82"/>
      <c r="AP630" s="82"/>
      <c r="AQ630" s="82"/>
      <c r="AR630" s="84"/>
      <c r="AS630" s="82"/>
      <c r="AT630" s="82"/>
      <c r="AU630" s="82"/>
    </row>
    <row r="631" spans="1:47" ht="15.75" customHeight="1">
      <c r="A631" s="82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  <c r="AD631" s="83"/>
      <c r="AE631" s="83"/>
      <c r="AF631" s="83"/>
      <c r="AG631" s="83"/>
      <c r="AH631" s="83"/>
      <c r="AI631" s="83"/>
      <c r="AJ631" s="83"/>
      <c r="AK631" s="83"/>
      <c r="AL631" s="84"/>
      <c r="AM631" s="84"/>
      <c r="AN631" s="84"/>
      <c r="AO631" s="82"/>
      <c r="AP631" s="82"/>
      <c r="AQ631" s="82"/>
      <c r="AR631" s="84"/>
      <c r="AS631" s="82"/>
      <c r="AT631" s="82"/>
      <c r="AU631" s="82"/>
    </row>
    <row r="632" spans="1:47" ht="15.75" customHeight="1">
      <c r="A632" s="82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  <c r="AD632" s="83"/>
      <c r="AE632" s="83"/>
      <c r="AF632" s="83"/>
      <c r="AG632" s="83"/>
      <c r="AH632" s="83"/>
      <c r="AI632" s="83"/>
      <c r="AJ632" s="83"/>
      <c r="AK632" s="83"/>
      <c r="AL632" s="84"/>
      <c r="AM632" s="84"/>
      <c r="AN632" s="84"/>
      <c r="AO632" s="82"/>
      <c r="AP632" s="82"/>
      <c r="AQ632" s="82"/>
      <c r="AR632" s="84"/>
      <c r="AS632" s="82"/>
      <c r="AT632" s="82"/>
      <c r="AU632" s="82"/>
    </row>
    <row r="633" spans="1:47" ht="15.75" customHeight="1">
      <c r="A633" s="82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  <c r="AD633" s="83"/>
      <c r="AE633" s="83"/>
      <c r="AF633" s="83"/>
      <c r="AG633" s="83"/>
      <c r="AH633" s="83"/>
      <c r="AI633" s="83"/>
      <c r="AJ633" s="83"/>
      <c r="AK633" s="83"/>
      <c r="AL633" s="84"/>
      <c r="AM633" s="84"/>
      <c r="AN633" s="84"/>
      <c r="AO633" s="82"/>
      <c r="AP633" s="82"/>
      <c r="AQ633" s="82"/>
      <c r="AR633" s="84"/>
      <c r="AS633" s="82"/>
      <c r="AT633" s="82"/>
      <c r="AU633" s="82"/>
    </row>
    <row r="634" spans="1:47" ht="15.75" customHeight="1">
      <c r="A634" s="82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  <c r="AD634" s="83"/>
      <c r="AE634" s="83"/>
      <c r="AF634" s="83"/>
      <c r="AG634" s="83"/>
      <c r="AH634" s="83"/>
      <c r="AI634" s="83"/>
      <c r="AJ634" s="83"/>
      <c r="AK634" s="83"/>
      <c r="AL634" s="84"/>
      <c r="AM634" s="84"/>
      <c r="AN634" s="84"/>
      <c r="AO634" s="82"/>
      <c r="AP634" s="82"/>
      <c r="AQ634" s="82"/>
      <c r="AR634" s="84"/>
      <c r="AS634" s="82"/>
      <c r="AT634" s="82"/>
      <c r="AU634" s="82"/>
    </row>
    <row r="635" spans="1:47" ht="15.75" customHeight="1">
      <c r="A635" s="82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  <c r="AD635" s="83"/>
      <c r="AE635" s="83"/>
      <c r="AF635" s="83"/>
      <c r="AG635" s="83"/>
      <c r="AH635" s="83"/>
      <c r="AI635" s="83"/>
      <c r="AJ635" s="83"/>
      <c r="AK635" s="83"/>
      <c r="AL635" s="84"/>
      <c r="AM635" s="84"/>
      <c r="AN635" s="84"/>
      <c r="AO635" s="82"/>
      <c r="AP635" s="82"/>
      <c r="AQ635" s="82"/>
      <c r="AR635" s="84"/>
      <c r="AS635" s="82"/>
      <c r="AT635" s="82"/>
      <c r="AU635" s="82"/>
    </row>
    <row r="636" spans="1:47" ht="15.75" customHeight="1">
      <c r="A636" s="82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  <c r="AD636" s="83"/>
      <c r="AE636" s="83"/>
      <c r="AF636" s="83"/>
      <c r="AG636" s="83"/>
      <c r="AH636" s="83"/>
      <c r="AI636" s="83"/>
      <c r="AJ636" s="83"/>
      <c r="AK636" s="83"/>
      <c r="AL636" s="84"/>
      <c r="AM636" s="84"/>
      <c r="AN636" s="84"/>
      <c r="AO636" s="82"/>
      <c r="AP636" s="82"/>
      <c r="AQ636" s="82"/>
      <c r="AR636" s="84"/>
      <c r="AS636" s="82"/>
      <c r="AT636" s="82"/>
      <c r="AU636" s="82"/>
    </row>
    <row r="637" spans="1:47" ht="15.75" customHeight="1">
      <c r="A637" s="82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  <c r="AD637" s="83"/>
      <c r="AE637" s="83"/>
      <c r="AF637" s="83"/>
      <c r="AG637" s="83"/>
      <c r="AH637" s="83"/>
      <c r="AI637" s="83"/>
      <c r="AJ637" s="83"/>
      <c r="AK637" s="83"/>
      <c r="AL637" s="84"/>
      <c r="AM637" s="84"/>
      <c r="AN637" s="84"/>
      <c r="AO637" s="82"/>
      <c r="AP637" s="82"/>
      <c r="AQ637" s="82"/>
      <c r="AR637" s="84"/>
      <c r="AS637" s="82"/>
      <c r="AT637" s="82"/>
      <c r="AU637" s="82"/>
    </row>
    <row r="638" spans="1:47" ht="15.75" customHeight="1">
      <c r="A638" s="82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  <c r="AD638" s="83"/>
      <c r="AE638" s="83"/>
      <c r="AF638" s="83"/>
      <c r="AG638" s="83"/>
      <c r="AH638" s="83"/>
      <c r="AI638" s="83"/>
      <c r="AJ638" s="83"/>
      <c r="AK638" s="83"/>
      <c r="AL638" s="84"/>
      <c r="AM638" s="84"/>
      <c r="AN638" s="84"/>
      <c r="AO638" s="82"/>
      <c r="AP638" s="82"/>
      <c r="AQ638" s="82"/>
      <c r="AR638" s="84"/>
      <c r="AS638" s="82"/>
      <c r="AT638" s="82"/>
      <c r="AU638" s="82"/>
    </row>
    <row r="639" spans="1:47" ht="15.75" customHeight="1">
      <c r="A639" s="82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  <c r="AD639" s="83"/>
      <c r="AE639" s="83"/>
      <c r="AF639" s="83"/>
      <c r="AG639" s="83"/>
      <c r="AH639" s="83"/>
      <c r="AI639" s="83"/>
      <c r="AJ639" s="83"/>
      <c r="AK639" s="83"/>
      <c r="AL639" s="84"/>
      <c r="AM639" s="84"/>
      <c r="AN639" s="84"/>
      <c r="AO639" s="82"/>
      <c r="AP639" s="82"/>
      <c r="AQ639" s="82"/>
      <c r="AR639" s="84"/>
      <c r="AS639" s="82"/>
      <c r="AT639" s="82"/>
      <c r="AU639" s="82"/>
    </row>
    <row r="640" spans="1:47" ht="15.75" customHeight="1">
      <c r="A640" s="82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  <c r="AD640" s="83"/>
      <c r="AE640" s="83"/>
      <c r="AF640" s="83"/>
      <c r="AG640" s="83"/>
      <c r="AH640" s="83"/>
      <c r="AI640" s="83"/>
      <c r="AJ640" s="83"/>
      <c r="AK640" s="83"/>
      <c r="AL640" s="84"/>
      <c r="AM640" s="84"/>
      <c r="AN640" s="84"/>
      <c r="AO640" s="82"/>
      <c r="AP640" s="82"/>
      <c r="AQ640" s="82"/>
      <c r="AR640" s="84"/>
      <c r="AS640" s="82"/>
      <c r="AT640" s="82"/>
      <c r="AU640" s="82"/>
    </row>
    <row r="641" spans="1:47" ht="15.75" customHeight="1">
      <c r="A641" s="82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  <c r="AD641" s="83"/>
      <c r="AE641" s="83"/>
      <c r="AF641" s="83"/>
      <c r="AG641" s="83"/>
      <c r="AH641" s="83"/>
      <c r="AI641" s="83"/>
      <c r="AJ641" s="83"/>
      <c r="AK641" s="83"/>
      <c r="AL641" s="84"/>
      <c r="AM641" s="84"/>
      <c r="AN641" s="84"/>
      <c r="AO641" s="82"/>
      <c r="AP641" s="82"/>
      <c r="AQ641" s="82"/>
      <c r="AR641" s="84"/>
      <c r="AS641" s="82"/>
      <c r="AT641" s="82"/>
      <c r="AU641" s="82"/>
    </row>
    <row r="642" spans="1:47" ht="15.75" customHeight="1">
      <c r="A642" s="82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  <c r="AD642" s="83"/>
      <c r="AE642" s="83"/>
      <c r="AF642" s="83"/>
      <c r="AG642" s="83"/>
      <c r="AH642" s="83"/>
      <c r="AI642" s="83"/>
      <c r="AJ642" s="83"/>
      <c r="AK642" s="83"/>
      <c r="AL642" s="84"/>
      <c r="AM642" s="84"/>
      <c r="AN642" s="84"/>
      <c r="AO642" s="82"/>
      <c r="AP642" s="82"/>
      <c r="AQ642" s="82"/>
      <c r="AR642" s="84"/>
      <c r="AS642" s="82"/>
      <c r="AT642" s="82"/>
      <c r="AU642" s="82"/>
    </row>
    <row r="643" spans="1:47" ht="15.75" customHeight="1">
      <c r="A643" s="82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  <c r="AD643" s="83"/>
      <c r="AE643" s="83"/>
      <c r="AF643" s="83"/>
      <c r="AG643" s="83"/>
      <c r="AH643" s="83"/>
      <c r="AI643" s="83"/>
      <c r="AJ643" s="83"/>
      <c r="AK643" s="83"/>
      <c r="AL643" s="84"/>
      <c r="AM643" s="84"/>
      <c r="AN643" s="84"/>
      <c r="AO643" s="82"/>
      <c r="AP643" s="82"/>
      <c r="AQ643" s="82"/>
      <c r="AR643" s="84"/>
      <c r="AS643" s="82"/>
      <c r="AT643" s="82"/>
      <c r="AU643" s="82"/>
    </row>
    <row r="644" spans="1:47" ht="15.75" customHeight="1">
      <c r="A644" s="82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  <c r="AD644" s="83"/>
      <c r="AE644" s="83"/>
      <c r="AF644" s="83"/>
      <c r="AG644" s="83"/>
      <c r="AH644" s="83"/>
      <c r="AI644" s="83"/>
      <c r="AJ644" s="83"/>
      <c r="AK644" s="83"/>
      <c r="AL644" s="84"/>
      <c r="AM644" s="84"/>
      <c r="AN644" s="84"/>
      <c r="AO644" s="82"/>
      <c r="AP644" s="82"/>
      <c r="AQ644" s="82"/>
      <c r="AR644" s="84"/>
      <c r="AS644" s="82"/>
      <c r="AT644" s="82"/>
      <c r="AU644" s="82"/>
    </row>
    <row r="645" spans="1:47" ht="15.75" customHeight="1">
      <c r="A645" s="82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  <c r="AD645" s="83"/>
      <c r="AE645" s="83"/>
      <c r="AF645" s="83"/>
      <c r="AG645" s="83"/>
      <c r="AH645" s="83"/>
      <c r="AI645" s="83"/>
      <c r="AJ645" s="83"/>
      <c r="AK645" s="83"/>
      <c r="AL645" s="84"/>
      <c r="AM645" s="84"/>
      <c r="AN645" s="84"/>
      <c r="AO645" s="82"/>
      <c r="AP645" s="82"/>
      <c r="AQ645" s="82"/>
      <c r="AR645" s="84"/>
      <c r="AS645" s="82"/>
      <c r="AT645" s="82"/>
      <c r="AU645" s="82"/>
    </row>
    <row r="646" spans="1:47" ht="15.75" customHeight="1">
      <c r="A646" s="82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  <c r="AD646" s="83"/>
      <c r="AE646" s="83"/>
      <c r="AF646" s="83"/>
      <c r="AG646" s="83"/>
      <c r="AH646" s="83"/>
      <c r="AI646" s="83"/>
      <c r="AJ646" s="83"/>
      <c r="AK646" s="83"/>
      <c r="AL646" s="84"/>
      <c r="AM646" s="84"/>
      <c r="AN646" s="84"/>
      <c r="AO646" s="82"/>
      <c r="AP646" s="82"/>
      <c r="AQ646" s="82"/>
      <c r="AR646" s="84"/>
      <c r="AS646" s="82"/>
      <c r="AT646" s="82"/>
      <c r="AU646" s="82"/>
    </row>
    <row r="647" spans="1:47" ht="15.75" customHeight="1">
      <c r="A647" s="82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  <c r="AD647" s="83"/>
      <c r="AE647" s="83"/>
      <c r="AF647" s="83"/>
      <c r="AG647" s="83"/>
      <c r="AH647" s="83"/>
      <c r="AI647" s="83"/>
      <c r="AJ647" s="83"/>
      <c r="AK647" s="83"/>
      <c r="AL647" s="84"/>
      <c r="AM647" s="84"/>
      <c r="AN647" s="84"/>
      <c r="AO647" s="82"/>
      <c r="AP647" s="82"/>
      <c r="AQ647" s="82"/>
      <c r="AR647" s="84"/>
      <c r="AS647" s="82"/>
      <c r="AT647" s="82"/>
      <c r="AU647" s="82"/>
    </row>
    <row r="648" spans="1:47" ht="15.75" customHeight="1">
      <c r="A648" s="82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  <c r="AD648" s="83"/>
      <c r="AE648" s="83"/>
      <c r="AF648" s="83"/>
      <c r="AG648" s="83"/>
      <c r="AH648" s="83"/>
      <c r="AI648" s="83"/>
      <c r="AJ648" s="83"/>
      <c r="AK648" s="83"/>
      <c r="AL648" s="84"/>
      <c r="AM648" s="84"/>
      <c r="AN648" s="84"/>
      <c r="AO648" s="82"/>
      <c r="AP648" s="82"/>
      <c r="AQ648" s="82"/>
      <c r="AR648" s="84"/>
      <c r="AS648" s="82"/>
      <c r="AT648" s="82"/>
      <c r="AU648" s="82"/>
    </row>
    <row r="649" spans="1:47" ht="15.75" customHeight="1">
      <c r="A649" s="82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  <c r="AD649" s="83"/>
      <c r="AE649" s="83"/>
      <c r="AF649" s="83"/>
      <c r="AG649" s="83"/>
      <c r="AH649" s="83"/>
      <c r="AI649" s="83"/>
      <c r="AJ649" s="83"/>
      <c r="AK649" s="83"/>
      <c r="AL649" s="84"/>
      <c r="AM649" s="84"/>
      <c r="AN649" s="84"/>
      <c r="AO649" s="82"/>
      <c r="AP649" s="82"/>
      <c r="AQ649" s="82"/>
      <c r="AR649" s="84"/>
      <c r="AS649" s="82"/>
      <c r="AT649" s="82"/>
      <c r="AU649" s="82"/>
    </row>
    <row r="650" spans="1:47" ht="15.75" customHeight="1">
      <c r="A650" s="82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  <c r="AD650" s="83"/>
      <c r="AE650" s="83"/>
      <c r="AF650" s="83"/>
      <c r="AG650" s="83"/>
      <c r="AH650" s="83"/>
      <c r="AI650" s="83"/>
      <c r="AJ650" s="83"/>
      <c r="AK650" s="83"/>
      <c r="AL650" s="84"/>
      <c r="AM650" s="84"/>
      <c r="AN650" s="84"/>
      <c r="AO650" s="82"/>
      <c r="AP650" s="82"/>
      <c r="AQ650" s="82"/>
      <c r="AR650" s="84"/>
      <c r="AS650" s="82"/>
      <c r="AT650" s="82"/>
      <c r="AU650" s="82"/>
    </row>
    <row r="651" spans="1:47" ht="15.75" customHeight="1">
      <c r="A651" s="82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  <c r="AD651" s="83"/>
      <c r="AE651" s="83"/>
      <c r="AF651" s="83"/>
      <c r="AG651" s="83"/>
      <c r="AH651" s="83"/>
      <c r="AI651" s="83"/>
      <c r="AJ651" s="83"/>
      <c r="AK651" s="83"/>
      <c r="AL651" s="84"/>
      <c r="AM651" s="84"/>
      <c r="AN651" s="84"/>
      <c r="AO651" s="82"/>
      <c r="AP651" s="82"/>
      <c r="AQ651" s="82"/>
      <c r="AR651" s="84"/>
      <c r="AS651" s="82"/>
      <c r="AT651" s="82"/>
      <c r="AU651" s="82"/>
    </row>
    <row r="652" spans="1:47" ht="15.75" customHeight="1">
      <c r="A652" s="82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  <c r="AD652" s="83"/>
      <c r="AE652" s="83"/>
      <c r="AF652" s="83"/>
      <c r="AG652" s="83"/>
      <c r="AH652" s="83"/>
      <c r="AI652" s="83"/>
      <c r="AJ652" s="83"/>
      <c r="AK652" s="83"/>
      <c r="AL652" s="84"/>
      <c r="AM652" s="84"/>
      <c r="AN652" s="84"/>
      <c r="AO652" s="82"/>
      <c r="AP652" s="82"/>
      <c r="AQ652" s="82"/>
      <c r="AR652" s="84"/>
      <c r="AS652" s="82"/>
      <c r="AT652" s="82"/>
      <c r="AU652" s="82"/>
    </row>
    <row r="653" spans="1:47" ht="15.75" customHeight="1">
      <c r="A653" s="82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  <c r="AD653" s="83"/>
      <c r="AE653" s="83"/>
      <c r="AF653" s="83"/>
      <c r="AG653" s="83"/>
      <c r="AH653" s="83"/>
      <c r="AI653" s="83"/>
      <c r="AJ653" s="83"/>
      <c r="AK653" s="83"/>
      <c r="AL653" s="84"/>
      <c r="AM653" s="84"/>
      <c r="AN653" s="84"/>
      <c r="AO653" s="82"/>
      <c r="AP653" s="82"/>
      <c r="AQ653" s="82"/>
      <c r="AR653" s="84"/>
      <c r="AS653" s="82"/>
      <c r="AT653" s="82"/>
      <c r="AU653" s="82"/>
    </row>
    <row r="654" spans="1:47" ht="15.75" customHeight="1">
      <c r="A654" s="82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  <c r="AD654" s="83"/>
      <c r="AE654" s="83"/>
      <c r="AF654" s="83"/>
      <c r="AG654" s="83"/>
      <c r="AH654" s="83"/>
      <c r="AI654" s="83"/>
      <c r="AJ654" s="83"/>
      <c r="AK654" s="83"/>
      <c r="AL654" s="84"/>
      <c r="AM654" s="84"/>
      <c r="AN654" s="84"/>
      <c r="AO654" s="82"/>
      <c r="AP654" s="82"/>
      <c r="AQ654" s="82"/>
      <c r="AR654" s="84"/>
      <c r="AS654" s="82"/>
      <c r="AT654" s="82"/>
      <c r="AU654" s="82"/>
    </row>
    <row r="655" spans="1:47" ht="15.75" customHeight="1">
      <c r="A655" s="82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  <c r="AD655" s="83"/>
      <c r="AE655" s="83"/>
      <c r="AF655" s="83"/>
      <c r="AG655" s="83"/>
      <c r="AH655" s="83"/>
      <c r="AI655" s="83"/>
      <c r="AJ655" s="83"/>
      <c r="AK655" s="83"/>
      <c r="AL655" s="84"/>
      <c r="AM655" s="84"/>
      <c r="AN655" s="84"/>
      <c r="AO655" s="82"/>
      <c r="AP655" s="82"/>
      <c r="AQ655" s="82"/>
      <c r="AR655" s="84"/>
      <c r="AS655" s="82"/>
      <c r="AT655" s="82"/>
      <c r="AU655" s="82"/>
    </row>
    <row r="656" spans="1:47" ht="15.75" customHeight="1">
      <c r="A656" s="82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  <c r="AD656" s="83"/>
      <c r="AE656" s="83"/>
      <c r="AF656" s="83"/>
      <c r="AG656" s="83"/>
      <c r="AH656" s="83"/>
      <c r="AI656" s="83"/>
      <c r="AJ656" s="83"/>
      <c r="AK656" s="83"/>
      <c r="AL656" s="84"/>
      <c r="AM656" s="84"/>
      <c r="AN656" s="84"/>
      <c r="AO656" s="82"/>
      <c r="AP656" s="82"/>
      <c r="AQ656" s="82"/>
      <c r="AR656" s="84"/>
      <c r="AS656" s="82"/>
      <c r="AT656" s="82"/>
      <c r="AU656" s="82"/>
    </row>
    <row r="657" spans="1:47" ht="15.75" customHeight="1">
      <c r="A657" s="82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  <c r="AD657" s="83"/>
      <c r="AE657" s="83"/>
      <c r="AF657" s="83"/>
      <c r="AG657" s="83"/>
      <c r="AH657" s="83"/>
      <c r="AI657" s="83"/>
      <c r="AJ657" s="83"/>
      <c r="AK657" s="83"/>
      <c r="AL657" s="84"/>
      <c r="AM657" s="84"/>
      <c r="AN657" s="84"/>
      <c r="AO657" s="82"/>
      <c r="AP657" s="82"/>
      <c r="AQ657" s="82"/>
      <c r="AR657" s="84"/>
      <c r="AS657" s="82"/>
      <c r="AT657" s="82"/>
      <c r="AU657" s="82"/>
    </row>
    <row r="658" spans="1:47" ht="15.75" customHeight="1">
      <c r="A658" s="82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  <c r="AD658" s="83"/>
      <c r="AE658" s="83"/>
      <c r="AF658" s="83"/>
      <c r="AG658" s="83"/>
      <c r="AH658" s="83"/>
      <c r="AI658" s="83"/>
      <c r="AJ658" s="83"/>
      <c r="AK658" s="83"/>
      <c r="AL658" s="84"/>
      <c r="AM658" s="84"/>
      <c r="AN658" s="84"/>
      <c r="AO658" s="82"/>
      <c r="AP658" s="82"/>
      <c r="AQ658" s="82"/>
      <c r="AR658" s="84"/>
      <c r="AS658" s="82"/>
      <c r="AT658" s="82"/>
      <c r="AU658" s="82"/>
    </row>
    <row r="659" spans="1:47" ht="15.75" customHeight="1">
      <c r="A659" s="82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  <c r="AD659" s="83"/>
      <c r="AE659" s="83"/>
      <c r="AF659" s="83"/>
      <c r="AG659" s="83"/>
      <c r="AH659" s="83"/>
      <c r="AI659" s="83"/>
      <c r="AJ659" s="83"/>
      <c r="AK659" s="83"/>
      <c r="AL659" s="84"/>
      <c r="AM659" s="84"/>
      <c r="AN659" s="84"/>
      <c r="AO659" s="82"/>
      <c r="AP659" s="82"/>
      <c r="AQ659" s="82"/>
      <c r="AR659" s="84"/>
      <c r="AS659" s="82"/>
      <c r="AT659" s="82"/>
      <c r="AU659" s="82"/>
    </row>
    <row r="660" spans="1:47" ht="15.75" customHeight="1">
      <c r="A660" s="82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  <c r="AD660" s="83"/>
      <c r="AE660" s="83"/>
      <c r="AF660" s="83"/>
      <c r="AG660" s="83"/>
      <c r="AH660" s="83"/>
      <c r="AI660" s="83"/>
      <c r="AJ660" s="83"/>
      <c r="AK660" s="83"/>
      <c r="AL660" s="84"/>
      <c r="AM660" s="84"/>
      <c r="AN660" s="84"/>
      <c r="AO660" s="82"/>
      <c r="AP660" s="82"/>
      <c r="AQ660" s="82"/>
      <c r="AR660" s="84"/>
      <c r="AS660" s="82"/>
      <c r="AT660" s="82"/>
      <c r="AU660" s="82"/>
    </row>
    <row r="661" spans="1:47" ht="15.75" customHeight="1">
      <c r="A661" s="82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  <c r="AD661" s="83"/>
      <c r="AE661" s="83"/>
      <c r="AF661" s="83"/>
      <c r="AG661" s="83"/>
      <c r="AH661" s="83"/>
      <c r="AI661" s="83"/>
      <c r="AJ661" s="83"/>
      <c r="AK661" s="83"/>
      <c r="AL661" s="84"/>
      <c r="AM661" s="84"/>
      <c r="AN661" s="84"/>
      <c r="AO661" s="82"/>
      <c r="AP661" s="82"/>
      <c r="AQ661" s="82"/>
      <c r="AR661" s="84"/>
      <c r="AS661" s="82"/>
      <c r="AT661" s="82"/>
      <c r="AU661" s="82"/>
    </row>
    <row r="662" spans="1:47" ht="15.75" customHeight="1">
      <c r="A662" s="82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  <c r="AD662" s="83"/>
      <c r="AE662" s="83"/>
      <c r="AF662" s="83"/>
      <c r="AG662" s="83"/>
      <c r="AH662" s="83"/>
      <c r="AI662" s="83"/>
      <c r="AJ662" s="83"/>
      <c r="AK662" s="83"/>
      <c r="AL662" s="84"/>
      <c r="AM662" s="84"/>
      <c r="AN662" s="84"/>
      <c r="AO662" s="82"/>
      <c r="AP662" s="82"/>
      <c r="AQ662" s="82"/>
      <c r="AR662" s="84"/>
      <c r="AS662" s="82"/>
      <c r="AT662" s="82"/>
      <c r="AU662" s="82"/>
    </row>
    <row r="663" spans="1:47" ht="15.75" customHeight="1">
      <c r="A663" s="82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  <c r="AD663" s="83"/>
      <c r="AE663" s="83"/>
      <c r="AF663" s="83"/>
      <c r="AG663" s="83"/>
      <c r="AH663" s="83"/>
      <c r="AI663" s="83"/>
      <c r="AJ663" s="83"/>
      <c r="AK663" s="83"/>
      <c r="AL663" s="84"/>
      <c r="AM663" s="84"/>
      <c r="AN663" s="84"/>
      <c r="AO663" s="82"/>
      <c r="AP663" s="82"/>
      <c r="AQ663" s="82"/>
      <c r="AR663" s="84"/>
      <c r="AS663" s="82"/>
      <c r="AT663" s="82"/>
      <c r="AU663" s="82"/>
    </row>
    <row r="664" spans="1:47" ht="15.75" customHeight="1">
      <c r="A664" s="82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  <c r="AD664" s="83"/>
      <c r="AE664" s="83"/>
      <c r="AF664" s="83"/>
      <c r="AG664" s="83"/>
      <c r="AH664" s="83"/>
      <c r="AI664" s="83"/>
      <c r="AJ664" s="83"/>
      <c r="AK664" s="83"/>
      <c r="AL664" s="84"/>
      <c r="AM664" s="84"/>
      <c r="AN664" s="84"/>
      <c r="AO664" s="82"/>
      <c r="AP664" s="82"/>
      <c r="AQ664" s="82"/>
      <c r="AR664" s="84"/>
      <c r="AS664" s="82"/>
      <c r="AT664" s="82"/>
      <c r="AU664" s="82"/>
    </row>
    <row r="665" spans="1:47" ht="15.75" customHeight="1">
      <c r="A665" s="82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  <c r="AD665" s="83"/>
      <c r="AE665" s="83"/>
      <c r="AF665" s="83"/>
      <c r="AG665" s="83"/>
      <c r="AH665" s="83"/>
      <c r="AI665" s="83"/>
      <c r="AJ665" s="83"/>
      <c r="AK665" s="83"/>
      <c r="AL665" s="84"/>
      <c r="AM665" s="84"/>
      <c r="AN665" s="84"/>
      <c r="AO665" s="82"/>
      <c r="AP665" s="82"/>
      <c r="AQ665" s="82"/>
      <c r="AR665" s="84"/>
      <c r="AS665" s="82"/>
      <c r="AT665" s="82"/>
      <c r="AU665" s="82"/>
    </row>
    <row r="666" spans="1:47" ht="15.75" customHeight="1">
      <c r="A666" s="82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  <c r="AD666" s="83"/>
      <c r="AE666" s="83"/>
      <c r="AF666" s="83"/>
      <c r="AG666" s="83"/>
      <c r="AH666" s="83"/>
      <c r="AI666" s="83"/>
      <c r="AJ666" s="83"/>
      <c r="AK666" s="83"/>
      <c r="AL666" s="84"/>
      <c r="AM666" s="84"/>
      <c r="AN666" s="84"/>
      <c r="AO666" s="82"/>
      <c r="AP666" s="82"/>
      <c r="AQ666" s="82"/>
      <c r="AR666" s="84"/>
      <c r="AS666" s="82"/>
      <c r="AT666" s="82"/>
      <c r="AU666" s="82"/>
    </row>
    <row r="667" spans="1:47" ht="15.75" customHeight="1">
      <c r="A667" s="82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  <c r="AD667" s="83"/>
      <c r="AE667" s="83"/>
      <c r="AF667" s="83"/>
      <c r="AG667" s="83"/>
      <c r="AH667" s="83"/>
      <c r="AI667" s="83"/>
      <c r="AJ667" s="83"/>
      <c r="AK667" s="83"/>
      <c r="AL667" s="84"/>
      <c r="AM667" s="84"/>
      <c r="AN667" s="84"/>
      <c r="AO667" s="82"/>
      <c r="AP667" s="82"/>
      <c r="AQ667" s="82"/>
      <c r="AR667" s="84"/>
      <c r="AS667" s="82"/>
      <c r="AT667" s="82"/>
      <c r="AU667" s="82"/>
    </row>
    <row r="668" spans="1:47" ht="15.75" customHeight="1">
      <c r="A668" s="82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  <c r="AD668" s="83"/>
      <c r="AE668" s="83"/>
      <c r="AF668" s="83"/>
      <c r="AG668" s="83"/>
      <c r="AH668" s="83"/>
      <c r="AI668" s="83"/>
      <c r="AJ668" s="83"/>
      <c r="AK668" s="83"/>
      <c r="AL668" s="84"/>
      <c r="AM668" s="84"/>
      <c r="AN668" s="84"/>
      <c r="AO668" s="82"/>
      <c r="AP668" s="82"/>
      <c r="AQ668" s="82"/>
      <c r="AR668" s="84"/>
      <c r="AS668" s="82"/>
      <c r="AT668" s="82"/>
      <c r="AU668" s="82"/>
    </row>
    <row r="669" spans="1:47" ht="15.75" customHeight="1">
      <c r="A669" s="82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  <c r="AD669" s="83"/>
      <c r="AE669" s="83"/>
      <c r="AF669" s="83"/>
      <c r="AG669" s="83"/>
      <c r="AH669" s="83"/>
      <c r="AI669" s="83"/>
      <c r="AJ669" s="83"/>
      <c r="AK669" s="83"/>
      <c r="AL669" s="84"/>
      <c r="AM669" s="84"/>
      <c r="AN669" s="84"/>
      <c r="AO669" s="82"/>
      <c r="AP669" s="82"/>
      <c r="AQ669" s="82"/>
      <c r="AR669" s="84"/>
      <c r="AS669" s="82"/>
      <c r="AT669" s="82"/>
      <c r="AU669" s="82"/>
    </row>
    <row r="670" spans="1:47" ht="15.75" customHeight="1">
      <c r="A670" s="82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  <c r="AD670" s="83"/>
      <c r="AE670" s="83"/>
      <c r="AF670" s="83"/>
      <c r="AG670" s="83"/>
      <c r="AH670" s="83"/>
      <c r="AI670" s="83"/>
      <c r="AJ670" s="83"/>
      <c r="AK670" s="83"/>
      <c r="AL670" s="84"/>
      <c r="AM670" s="84"/>
      <c r="AN670" s="84"/>
      <c r="AO670" s="82"/>
      <c r="AP670" s="82"/>
      <c r="AQ670" s="82"/>
      <c r="AR670" s="84"/>
      <c r="AS670" s="82"/>
      <c r="AT670" s="82"/>
      <c r="AU670" s="82"/>
    </row>
    <row r="671" spans="1:47" ht="15.75" customHeight="1">
      <c r="A671" s="82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  <c r="AD671" s="83"/>
      <c r="AE671" s="83"/>
      <c r="AF671" s="83"/>
      <c r="AG671" s="83"/>
      <c r="AH671" s="83"/>
      <c r="AI671" s="83"/>
      <c r="AJ671" s="83"/>
      <c r="AK671" s="83"/>
      <c r="AL671" s="84"/>
      <c r="AM671" s="84"/>
      <c r="AN671" s="84"/>
      <c r="AO671" s="82"/>
      <c r="AP671" s="82"/>
      <c r="AQ671" s="82"/>
      <c r="AR671" s="84"/>
      <c r="AS671" s="82"/>
      <c r="AT671" s="82"/>
      <c r="AU671" s="82"/>
    </row>
    <row r="672" spans="1:47" ht="15.75" customHeight="1">
      <c r="A672" s="82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  <c r="AD672" s="83"/>
      <c r="AE672" s="83"/>
      <c r="AF672" s="83"/>
      <c r="AG672" s="83"/>
      <c r="AH672" s="83"/>
      <c r="AI672" s="83"/>
      <c r="AJ672" s="83"/>
      <c r="AK672" s="83"/>
      <c r="AL672" s="84"/>
      <c r="AM672" s="84"/>
      <c r="AN672" s="84"/>
      <c r="AO672" s="82"/>
      <c r="AP672" s="82"/>
      <c r="AQ672" s="82"/>
      <c r="AR672" s="84"/>
      <c r="AS672" s="82"/>
      <c r="AT672" s="82"/>
      <c r="AU672" s="82"/>
    </row>
    <row r="673" spans="1:47" ht="15.75" customHeight="1">
      <c r="A673" s="82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  <c r="AD673" s="83"/>
      <c r="AE673" s="83"/>
      <c r="AF673" s="83"/>
      <c r="AG673" s="83"/>
      <c r="AH673" s="83"/>
      <c r="AI673" s="83"/>
      <c r="AJ673" s="83"/>
      <c r="AK673" s="83"/>
      <c r="AL673" s="84"/>
      <c r="AM673" s="84"/>
      <c r="AN673" s="84"/>
      <c r="AO673" s="82"/>
      <c r="AP673" s="82"/>
      <c r="AQ673" s="82"/>
      <c r="AR673" s="84"/>
      <c r="AS673" s="82"/>
      <c r="AT673" s="82"/>
      <c r="AU673" s="82"/>
    </row>
    <row r="674" spans="1:47" ht="15.75" customHeight="1">
      <c r="A674" s="82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  <c r="AD674" s="83"/>
      <c r="AE674" s="83"/>
      <c r="AF674" s="83"/>
      <c r="AG674" s="83"/>
      <c r="AH674" s="83"/>
      <c r="AI674" s="83"/>
      <c r="AJ674" s="83"/>
      <c r="AK674" s="83"/>
      <c r="AL674" s="84"/>
      <c r="AM674" s="84"/>
      <c r="AN674" s="84"/>
      <c r="AO674" s="82"/>
      <c r="AP674" s="82"/>
      <c r="AQ674" s="82"/>
      <c r="AR674" s="84"/>
      <c r="AS674" s="82"/>
      <c r="AT674" s="82"/>
      <c r="AU674" s="82"/>
    </row>
    <row r="675" spans="1:47" ht="15.75" customHeight="1">
      <c r="A675" s="82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  <c r="AD675" s="83"/>
      <c r="AE675" s="83"/>
      <c r="AF675" s="83"/>
      <c r="AG675" s="83"/>
      <c r="AH675" s="83"/>
      <c r="AI675" s="83"/>
      <c r="AJ675" s="83"/>
      <c r="AK675" s="83"/>
      <c r="AL675" s="84"/>
      <c r="AM675" s="84"/>
      <c r="AN675" s="84"/>
      <c r="AO675" s="82"/>
      <c r="AP675" s="82"/>
      <c r="AQ675" s="82"/>
      <c r="AR675" s="84"/>
      <c r="AS675" s="82"/>
      <c r="AT675" s="82"/>
      <c r="AU675" s="82"/>
    </row>
    <row r="676" spans="1:47" ht="15.75" customHeight="1">
      <c r="A676" s="82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  <c r="AD676" s="83"/>
      <c r="AE676" s="83"/>
      <c r="AF676" s="83"/>
      <c r="AG676" s="83"/>
      <c r="AH676" s="83"/>
      <c r="AI676" s="83"/>
      <c r="AJ676" s="83"/>
      <c r="AK676" s="83"/>
      <c r="AL676" s="84"/>
      <c r="AM676" s="84"/>
      <c r="AN676" s="84"/>
      <c r="AO676" s="82"/>
      <c r="AP676" s="82"/>
      <c r="AQ676" s="82"/>
      <c r="AR676" s="84"/>
      <c r="AS676" s="82"/>
      <c r="AT676" s="82"/>
      <c r="AU676" s="82"/>
    </row>
    <row r="677" spans="1:47" ht="15.75" customHeight="1">
      <c r="A677" s="82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  <c r="AD677" s="83"/>
      <c r="AE677" s="83"/>
      <c r="AF677" s="83"/>
      <c r="AG677" s="83"/>
      <c r="AH677" s="83"/>
      <c r="AI677" s="83"/>
      <c r="AJ677" s="83"/>
      <c r="AK677" s="83"/>
      <c r="AL677" s="84"/>
      <c r="AM677" s="84"/>
      <c r="AN677" s="84"/>
      <c r="AO677" s="82"/>
      <c r="AP677" s="82"/>
      <c r="AQ677" s="82"/>
      <c r="AR677" s="84"/>
      <c r="AS677" s="82"/>
      <c r="AT677" s="82"/>
      <c r="AU677" s="82"/>
    </row>
    <row r="678" spans="1:47" ht="15.75" customHeight="1">
      <c r="A678" s="82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  <c r="AD678" s="83"/>
      <c r="AE678" s="83"/>
      <c r="AF678" s="83"/>
      <c r="AG678" s="83"/>
      <c r="AH678" s="83"/>
      <c r="AI678" s="83"/>
      <c r="AJ678" s="83"/>
      <c r="AK678" s="83"/>
      <c r="AL678" s="84"/>
      <c r="AM678" s="84"/>
      <c r="AN678" s="84"/>
      <c r="AO678" s="82"/>
      <c r="AP678" s="82"/>
      <c r="AQ678" s="82"/>
      <c r="AR678" s="84"/>
      <c r="AS678" s="82"/>
      <c r="AT678" s="82"/>
      <c r="AU678" s="82"/>
    </row>
    <row r="679" spans="1:47" ht="15.75" customHeight="1">
      <c r="A679" s="82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  <c r="AD679" s="83"/>
      <c r="AE679" s="83"/>
      <c r="AF679" s="83"/>
      <c r="AG679" s="83"/>
      <c r="AH679" s="83"/>
      <c r="AI679" s="83"/>
      <c r="AJ679" s="83"/>
      <c r="AK679" s="83"/>
      <c r="AL679" s="84"/>
      <c r="AM679" s="84"/>
      <c r="AN679" s="84"/>
      <c r="AO679" s="82"/>
      <c r="AP679" s="82"/>
      <c r="AQ679" s="82"/>
      <c r="AR679" s="84"/>
      <c r="AS679" s="82"/>
      <c r="AT679" s="82"/>
      <c r="AU679" s="82"/>
    </row>
    <row r="680" spans="1:47" ht="15.75" customHeight="1">
      <c r="A680" s="82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  <c r="AD680" s="83"/>
      <c r="AE680" s="83"/>
      <c r="AF680" s="83"/>
      <c r="AG680" s="83"/>
      <c r="AH680" s="83"/>
      <c r="AI680" s="83"/>
      <c r="AJ680" s="83"/>
      <c r="AK680" s="83"/>
      <c r="AL680" s="84"/>
      <c r="AM680" s="84"/>
      <c r="AN680" s="84"/>
      <c r="AO680" s="82"/>
      <c r="AP680" s="82"/>
      <c r="AQ680" s="82"/>
      <c r="AR680" s="84"/>
      <c r="AS680" s="82"/>
      <c r="AT680" s="82"/>
      <c r="AU680" s="82"/>
    </row>
    <row r="681" spans="1:47" ht="15.75" customHeight="1">
      <c r="A681" s="82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  <c r="AD681" s="83"/>
      <c r="AE681" s="83"/>
      <c r="AF681" s="83"/>
      <c r="AG681" s="83"/>
      <c r="AH681" s="83"/>
      <c r="AI681" s="83"/>
      <c r="AJ681" s="83"/>
      <c r="AK681" s="83"/>
      <c r="AL681" s="84"/>
      <c r="AM681" s="84"/>
      <c r="AN681" s="84"/>
      <c r="AO681" s="82"/>
      <c r="AP681" s="82"/>
      <c r="AQ681" s="82"/>
      <c r="AR681" s="84"/>
      <c r="AS681" s="82"/>
      <c r="AT681" s="82"/>
      <c r="AU681" s="82"/>
    </row>
    <row r="682" spans="1:47" ht="15.75" customHeight="1">
      <c r="A682" s="82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  <c r="AD682" s="83"/>
      <c r="AE682" s="83"/>
      <c r="AF682" s="83"/>
      <c r="AG682" s="83"/>
      <c r="AH682" s="83"/>
      <c r="AI682" s="83"/>
      <c r="AJ682" s="83"/>
      <c r="AK682" s="83"/>
      <c r="AL682" s="84"/>
      <c r="AM682" s="84"/>
      <c r="AN682" s="84"/>
      <c r="AO682" s="82"/>
      <c r="AP682" s="82"/>
      <c r="AQ682" s="82"/>
      <c r="AR682" s="84"/>
      <c r="AS682" s="82"/>
      <c r="AT682" s="82"/>
      <c r="AU682" s="82"/>
    </row>
    <row r="683" spans="1:47" ht="15.75" customHeight="1">
      <c r="A683" s="82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  <c r="AD683" s="83"/>
      <c r="AE683" s="83"/>
      <c r="AF683" s="83"/>
      <c r="AG683" s="83"/>
      <c r="AH683" s="83"/>
      <c r="AI683" s="83"/>
      <c r="AJ683" s="83"/>
      <c r="AK683" s="83"/>
      <c r="AL683" s="84"/>
      <c r="AM683" s="84"/>
      <c r="AN683" s="84"/>
      <c r="AO683" s="82"/>
      <c r="AP683" s="82"/>
      <c r="AQ683" s="82"/>
      <c r="AR683" s="84"/>
      <c r="AS683" s="82"/>
      <c r="AT683" s="82"/>
      <c r="AU683" s="82"/>
    </row>
    <row r="684" spans="1:47" ht="15.75" customHeight="1">
      <c r="A684" s="82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  <c r="AD684" s="83"/>
      <c r="AE684" s="83"/>
      <c r="AF684" s="83"/>
      <c r="AG684" s="83"/>
      <c r="AH684" s="83"/>
      <c r="AI684" s="83"/>
      <c r="AJ684" s="83"/>
      <c r="AK684" s="83"/>
      <c r="AL684" s="84"/>
      <c r="AM684" s="84"/>
      <c r="AN684" s="84"/>
      <c r="AO684" s="82"/>
      <c r="AP684" s="82"/>
      <c r="AQ684" s="82"/>
      <c r="AR684" s="84"/>
      <c r="AS684" s="82"/>
      <c r="AT684" s="82"/>
      <c r="AU684" s="82"/>
    </row>
    <row r="685" spans="1:47" ht="15.75" customHeight="1">
      <c r="A685" s="82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  <c r="AD685" s="83"/>
      <c r="AE685" s="83"/>
      <c r="AF685" s="83"/>
      <c r="AG685" s="83"/>
      <c r="AH685" s="83"/>
      <c r="AI685" s="83"/>
      <c r="AJ685" s="83"/>
      <c r="AK685" s="83"/>
      <c r="AL685" s="84"/>
      <c r="AM685" s="84"/>
      <c r="AN685" s="84"/>
      <c r="AO685" s="82"/>
      <c r="AP685" s="82"/>
      <c r="AQ685" s="82"/>
      <c r="AR685" s="84"/>
      <c r="AS685" s="82"/>
      <c r="AT685" s="82"/>
      <c r="AU685" s="82"/>
    </row>
    <row r="686" spans="1:47" ht="15.75" customHeight="1">
      <c r="A686" s="82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  <c r="AD686" s="83"/>
      <c r="AE686" s="83"/>
      <c r="AF686" s="83"/>
      <c r="AG686" s="83"/>
      <c r="AH686" s="83"/>
      <c r="AI686" s="83"/>
      <c r="AJ686" s="83"/>
      <c r="AK686" s="83"/>
      <c r="AL686" s="84"/>
      <c r="AM686" s="84"/>
      <c r="AN686" s="84"/>
      <c r="AO686" s="82"/>
      <c r="AP686" s="82"/>
      <c r="AQ686" s="82"/>
      <c r="AR686" s="84"/>
      <c r="AS686" s="82"/>
      <c r="AT686" s="82"/>
      <c r="AU686" s="82"/>
    </row>
    <row r="687" spans="1:47" ht="15.75" customHeight="1">
      <c r="A687" s="82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  <c r="AD687" s="83"/>
      <c r="AE687" s="83"/>
      <c r="AF687" s="83"/>
      <c r="AG687" s="83"/>
      <c r="AH687" s="83"/>
      <c r="AI687" s="83"/>
      <c r="AJ687" s="83"/>
      <c r="AK687" s="83"/>
      <c r="AL687" s="84"/>
      <c r="AM687" s="84"/>
      <c r="AN687" s="84"/>
      <c r="AO687" s="82"/>
      <c r="AP687" s="82"/>
      <c r="AQ687" s="82"/>
      <c r="AR687" s="84"/>
      <c r="AS687" s="82"/>
      <c r="AT687" s="82"/>
      <c r="AU687" s="82"/>
    </row>
    <row r="688" spans="1:47" ht="15.75" customHeight="1">
      <c r="A688" s="82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  <c r="AD688" s="83"/>
      <c r="AE688" s="83"/>
      <c r="AF688" s="83"/>
      <c r="AG688" s="83"/>
      <c r="AH688" s="83"/>
      <c r="AI688" s="83"/>
      <c r="AJ688" s="83"/>
      <c r="AK688" s="83"/>
      <c r="AL688" s="84"/>
      <c r="AM688" s="84"/>
      <c r="AN688" s="84"/>
      <c r="AO688" s="82"/>
      <c r="AP688" s="82"/>
      <c r="AQ688" s="82"/>
      <c r="AR688" s="84"/>
      <c r="AS688" s="82"/>
      <c r="AT688" s="82"/>
      <c r="AU688" s="82"/>
    </row>
    <row r="689" spans="1:47" ht="15.75" customHeight="1">
      <c r="A689" s="82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  <c r="AD689" s="83"/>
      <c r="AE689" s="83"/>
      <c r="AF689" s="83"/>
      <c r="AG689" s="83"/>
      <c r="AH689" s="83"/>
      <c r="AI689" s="83"/>
      <c r="AJ689" s="83"/>
      <c r="AK689" s="83"/>
      <c r="AL689" s="84"/>
      <c r="AM689" s="84"/>
      <c r="AN689" s="84"/>
      <c r="AO689" s="82"/>
      <c r="AP689" s="82"/>
      <c r="AQ689" s="82"/>
      <c r="AR689" s="84"/>
      <c r="AS689" s="82"/>
      <c r="AT689" s="82"/>
      <c r="AU689" s="82"/>
    </row>
    <row r="690" spans="1:47" ht="15.75" customHeight="1">
      <c r="A690" s="82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  <c r="AD690" s="83"/>
      <c r="AE690" s="83"/>
      <c r="AF690" s="83"/>
      <c r="AG690" s="83"/>
      <c r="AH690" s="83"/>
      <c r="AI690" s="83"/>
      <c r="AJ690" s="83"/>
      <c r="AK690" s="83"/>
      <c r="AL690" s="84"/>
      <c r="AM690" s="84"/>
      <c r="AN690" s="84"/>
      <c r="AO690" s="82"/>
      <c r="AP690" s="82"/>
      <c r="AQ690" s="82"/>
      <c r="AR690" s="84"/>
      <c r="AS690" s="82"/>
      <c r="AT690" s="82"/>
      <c r="AU690" s="82"/>
    </row>
    <row r="691" spans="1:47" ht="15.75" customHeight="1">
      <c r="A691" s="82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  <c r="AD691" s="83"/>
      <c r="AE691" s="83"/>
      <c r="AF691" s="83"/>
      <c r="AG691" s="83"/>
      <c r="AH691" s="83"/>
      <c r="AI691" s="83"/>
      <c r="AJ691" s="83"/>
      <c r="AK691" s="83"/>
      <c r="AL691" s="84"/>
      <c r="AM691" s="84"/>
      <c r="AN691" s="84"/>
      <c r="AO691" s="82"/>
      <c r="AP691" s="82"/>
      <c r="AQ691" s="82"/>
      <c r="AR691" s="84"/>
      <c r="AS691" s="82"/>
      <c r="AT691" s="82"/>
      <c r="AU691" s="82"/>
    </row>
    <row r="692" spans="1:47" ht="15.75" customHeight="1">
      <c r="A692" s="82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  <c r="AD692" s="83"/>
      <c r="AE692" s="83"/>
      <c r="AF692" s="83"/>
      <c r="AG692" s="83"/>
      <c r="AH692" s="83"/>
      <c r="AI692" s="83"/>
      <c r="AJ692" s="83"/>
      <c r="AK692" s="83"/>
      <c r="AL692" s="84"/>
      <c r="AM692" s="84"/>
      <c r="AN692" s="84"/>
      <c r="AO692" s="82"/>
      <c r="AP692" s="82"/>
      <c r="AQ692" s="82"/>
      <c r="AR692" s="84"/>
      <c r="AS692" s="82"/>
      <c r="AT692" s="82"/>
      <c r="AU692" s="82"/>
    </row>
    <row r="693" spans="1:47" ht="15.75" customHeight="1">
      <c r="A693" s="82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  <c r="AD693" s="83"/>
      <c r="AE693" s="83"/>
      <c r="AF693" s="83"/>
      <c r="AG693" s="83"/>
      <c r="AH693" s="83"/>
      <c r="AI693" s="83"/>
      <c r="AJ693" s="83"/>
      <c r="AK693" s="83"/>
      <c r="AL693" s="84"/>
      <c r="AM693" s="84"/>
      <c r="AN693" s="84"/>
      <c r="AO693" s="82"/>
      <c r="AP693" s="82"/>
      <c r="AQ693" s="82"/>
      <c r="AR693" s="84"/>
      <c r="AS693" s="82"/>
      <c r="AT693" s="82"/>
      <c r="AU693" s="82"/>
    </row>
    <row r="694" spans="1:47" ht="15.75" customHeight="1">
      <c r="A694" s="82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  <c r="AD694" s="83"/>
      <c r="AE694" s="83"/>
      <c r="AF694" s="83"/>
      <c r="AG694" s="83"/>
      <c r="AH694" s="83"/>
      <c r="AI694" s="83"/>
      <c r="AJ694" s="83"/>
      <c r="AK694" s="83"/>
      <c r="AL694" s="84"/>
      <c r="AM694" s="84"/>
      <c r="AN694" s="84"/>
      <c r="AO694" s="82"/>
      <c r="AP694" s="82"/>
      <c r="AQ694" s="82"/>
      <c r="AR694" s="84"/>
      <c r="AS694" s="82"/>
      <c r="AT694" s="82"/>
      <c r="AU694" s="82"/>
    </row>
    <row r="695" spans="1:47" ht="15.75" customHeight="1">
      <c r="A695" s="82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  <c r="AD695" s="83"/>
      <c r="AE695" s="83"/>
      <c r="AF695" s="83"/>
      <c r="AG695" s="83"/>
      <c r="AH695" s="83"/>
      <c r="AI695" s="83"/>
      <c r="AJ695" s="83"/>
      <c r="AK695" s="83"/>
      <c r="AL695" s="84"/>
      <c r="AM695" s="84"/>
      <c r="AN695" s="84"/>
      <c r="AO695" s="82"/>
      <c r="AP695" s="82"/>
      <c r="AQ695" s="82"/>
      <c r="AR695" s="84"/>
      <c r="AS695" s="82"/>
      <c r="AT695" s="82"/>
      <c r="AU695" s="82"/>
    </row>
    <row r="696" spans="1:47" ht="15.75" customHeight="1">
      <c r="A696" s="82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  <c r="AD696" s="83"/>
      <c r="AE696" s="83"/>
      <c r="AF696" s="83"/>
      <c r="AG696" s="83"/>
      <c r="AH696" s="83"/>
      <c r="AI696" s="83"/>
      <c r="AJ696" s="83"/>
      <c r="AK696" s="83"/>
      <c r="AL696" s="84"/>
      <c r="AM696" s="84"/>
      <c r="AN696" s="84"/>
      <c r="AO696" s="82"/>
      <c r="AP696" s="82"/>
      <c r="AQ696" s="82"/>
      <c r="AR696" s="84"/>
      <c r="AS696" s="82"/>
      <c r="AT696" s="82"/>
      <c r="AU696" s="82"/>
    </row>
    <row r="697" spans="1:47" ht="15.75" customHeight="1">
      <c r="A697" s="82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  <c r="AD697" s="83"/>
      <c r="AE697" s="83"/>
      <c r="AF697" s="83"/>
      <c r="AG697" s="83"/>
      <c r="AH697" s="83"/>
      <c r="AI697" s="83"/>
      <c r="AJ697" s="83"/>
      <c r="AK697" s="83"/>
      <c r="AL697" s="84"/>
      <c r="AM697" s="84"/>
      <c r="AN697" s="84"/>
      <c r="AO697" s="82"/>
      <c r="AP697" s="82"/>
      <c r="AQ697" s="82"/>
      <c r="AR697" s="84"/>
      <c r="AS697" s="82"/>
      <c r="AT697" s="82"/>
      <c r="AU697" s="82"/>
    </row>
    <row r="698" spans="1:47" ht="15.75" customHeight="1">
      <c r="A698" s="82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  <c r="AD698" s="83"/>
      <c r="AE698" s="83"/>
      <c r="AF698" s="83"/>
      <c r="AG698" s="83"/>
      <c r="AH698" s="83"/>
      <c r="AI698" s="83"/>
      <c r="AJ698" s="83"/>
      <c r="AK698" s="83"/>
      <c r="AL698" s="84"/>
      <c r="AM698" s="84"/>
      <c r="AN698" s="84"/>
      <c r="AO698" s="82"/>
      <c r="AP698" s="82"/>
      <c r="AQ698" s="82"/>
      <c r="AR698" s="84"/>
      <c r="AS698" s="82"/>
      <c r="AT698" s="82"/>
      <c r="AU698" s="82"/>
    </row>
    <row r="699" spans="1:47" ht="15.75" customHeight="1">
      <c r="A699" s="82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  <c r="AD699" s="83"/>
      <c r="AE699" s="83"/>
      <c r="AF699" s="83"/>
      <c r="AG699" s="83"/>
      <c r="AH699" s="83"/>
      <c r="AI699" s="83"/>
      <c r="AJ699" s="83"/>
      <c r="AK699" s="83"/>
      <c r="AL699" s="84"/>
      <c r="AM699" s="84"/>
      <c r="AN699" s="84"/>
      <c r="AO699" s="82"/>
      <c r="AP699" s="82"/>
      <c r="AQ699" s="82"/>
      <c r="AR699" s="84"/>
      <c r="AS699" s="82"/>
      <c r="AT699" s="82"/>
      <c r="AU699" s="82"/>
    </row>
    <row r="700" spans="1:47" ht="15.75" customHeight="1">
      <c r="A700" s="82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  <c r="AD700" s="83"/>
      <c r="AE700" s="83"/>
      <c r="AF700" s="83"/>
      <c r="AG700" s="83"/>
      <c r="AH700" s="83"/>
      <c r="AI700" s="83"/>
      <c r="AJ700" s="83"/>
      <c r="AK700" s="83"/>
      <c r="AL700" s="84"/>
      <c r="AM700" s="84"/>
      <c r="AN700" s="84"/>
      <c r="AO700" s="82"/>
      <c r="AP700" s="82"/>
      <c r="AQ700" s="82"/>
      <c r="AR700" s="84"/>
      <c r="AS700" s="82"/>
      <c r="AT700" s="82"/>
      <c r="AU700" s="82"/>
    </row>
    <row r="701" spans="1:47" ht="15.75" customHeight="1">
      <c r="A701" s="82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  <c r="AD701" s="83"/>
      <c r="AE701" s="83"/>
      <c r="AF701" s="83"/>
      <c r="AG701" s="83"/>
      <c r="AH701" s="83"/>
      <c r="AI701" s="83"/>
      <c r="AJ701" s="83"/>
      <c r="AK701" s="83"/>
      <c r="AL701" s="84"/>
      <c r="AM701" s="84"/>
      <c r="AN701" s="84"/>
      <c r="AO701" s="82"/>
      <c r="AP701" s="82"/>
      <c r="AQ701" s="82"/>
      <c r="AR701" s="84"/>
      <c r="AS701" s="82"/>
      <c r="AT701" s="82"/>
      <c r="AU701" s="82"/>
    </row>
    <row r="702" spans="1:47" ht="15.75" customHeight="1">
      <c r="A702" s="82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  <c r="AD702" s="83"/>
      <c r="AE702" s="83"/>
      <c r="AF702" s="83"/>
      <c r="AG702" s="83"/>
      <c r="AH702" s="83"/>
      <c r="AI702" s="83"/>
      <c r="AJ702" s="83"/>
      <c r="AK702" s="83"/>
      <c r="AL702" s="84"/>
      <c r="AM702" s="84"/>
      <c r="AN702" s="84"/>
      <c r="AO702" s="82"/>
      <c r="AP702" s="82"/>
      <c r="AQ702" s="82"/>
      <c r="AR702" s="84"/>
      <c r="AS702" s="82"/>
      <c r="AT702" s="82"/>
      <c r="AU702" s="82"/>
    </row>
    <row r="703" spans="1:47" ht="15.75" customHeight="1">
      <c r="A703" s="82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  <c r="AD703" s="83"/>
      <c r="AE703" s="83"/>
      <c r="AF703" s="83"/>
      <c r="AG703" s="83"/>
      <c r="AH703" s="83"/>
      <c r="AI703" s="83"/>
      <c r="AJ703" s="83"/>
      <c r="AK703" s="83"/>
      <c r="AL703" s="84"/>
      <c r="AM703" s="84"/>
      <c r="AN703" s="84"/>
      <c r="AO703" s="82"/>
      <c r="AP703" s="82"/>
      <c r="AQ703" s="82"/>
      <c r="AR703" s="84"/>
      <c r="AS703" s="82"/>
      <c r="AT703" s="82"/>
      <c r="AU703" s="82"/>
    </row>
    <row r="704" spans="1:47" ht="15.75" customHeight="1">
      <c r="A704" s="82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  <c r="AD704" s="83"/>
      <c r="AE704" s="83"/>
      <c r="AF704" s="83"/>
      <c r="AG704" s="83"/>
      <c r="AH704" s="83"/>
      <c r="AI704" s="83"/>
      <c r="AJ704" s="83"/>
      <c r="AK704" s="83"/>
      <c r="AL704" s="84"/>
      <c r="AM704" s="84"/>
      <c r="AN704" s="84"/>
      <c r="AO704" s="82"/>
      <c r="AP704" s="82"/>
      <c r="AQ704" s="82"/>
      <c r="AR704" s="84"/>
      <c r="AS704" s="82"/>
      <c r="AT704" s="82"/>
      <c r="AU704" s="82"/>
    </row>
    <row r="705" spans="1:47" ht="15.75" customHeight="1">
      <c r="A705" s="82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  <c r="AD705" s="83"/>
      <c r="AE705" s="83"/>
      <c r="AF705" s="83"/>
      <c r="AG705" s="83"/>
      <c r="AH705" s="83"/>
      <c r="AI705" s="83"/>
      <c r="AJ705" s="83"/>
      <c r="AK705" s="83"/>
      <c r="AL705" s="84"/>
      <c r="AM705" s="84"/>
      <c r="AN705" s="84"/>
      <c r="AO705" s="82"/>
      <c r="AP705" s="82"/>
      <c r="AQ705" s="82"/>
      <c r="AR705" s="84"/>
      <c r="AS705" s="82"/>
      <c r="AT705" s="82"/>
      <c r="AU705" s="82"/>
    </row>
    <row r="706" spans="1:47" ht="15.75" customHeight="1">
      <c r="A706" s="82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  <c r="AD706" s="83"/>
      <c r="AE706" s="83"/>
      <c r="AF706" s="83"/>
      <c r="AG706" s="83"/>
      <c r="AH706" s="83"/>
      <c r="AI706" s="83"/>
      <c r="AJ706" s="83"/>
      <c r="AK706" s="83"/>
      <c r="AL706" s="84"/>
      <c r="AM706" s="84"/>
      <c r="AN706" s="84"/>
      <c r="AO706" s="82"/>
      <c r="AP706" s="82"/>
      <c r="AQ706" s="82"/>
      <c r="AR706" s="84"/>
      <c r="AS706" s="82"/>
      <c r="AT706" s="82"/>
      <c r="AU706" s="82"/>
    </row>
    <row r="707" spans="1:47" ht="15.75" customHeight="1">
      <c r="A707" s="82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  <c r="AD707" s="83"/>
      <c r="AE707" s="83"/>
      <c r="AF707" s="83"/>
      <c r="AG707" s="83"/>
      <c r="AH707" s="83"/>
      <c r="AI707" s="83"/>
      <c r="AJ707" s="83"/>
      <c r="AK707" s="83"/>
      <c r="AL707" s="84"/>
      <c r="AM707" s="84"/>
      <c r="AN707" s="84"/>
      <c r="AO707" s="82"/>
      <c r="AP707" s="82"/>
      <c r="AQ707" s="82"/>
      <c r="AR707" s="84"/>
      <c r="AS707" s="82"/>
      <c r="AT707" s="82"/>
      <c r="AU707" s="82"/>
    </row>
    <row r="708" spans="1:47" ht="15.75" customHeight="1">
      <c r="A708" s="82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  <c r="AD708" s="83"/>
      <c r="AE708" s="83"/>
      <c r="AF708" s="83"/>
      <c r="AG708" s="83"/>
      <c r="AH708" s="83"/>
      <c r="AI708" s="83"/>
      <c r="AJ708" s="83"/>
      <c r="AK708" s="83"/>
      <c r="AL708" s="84"/>
      <c r="AM708" s="84"/>
      <c r="AN708" s="84"/>
      <c r="AO708" s="82"/>
      <c r="AP708" s="82"/>
      <c r="AQ708" s="82"/>
      <c r="AR708" s="84"/>
      <c r="AS708" s="82"/>
      <c r="AT708" s="82"/>
      <c r="AU708" s="82"/>
    </row>
    <row r="709" spans="1:47" ht="15.75" customHeight="1">
      <c r="A709" s="82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  <c r="AD709" s="83"/>
      <c r="AE709" s="83"/>
      <c r="AF709" s="83"/>
      <c r="AG709" s="83"/>
      <c r="AH709" s="83"/>
      <c r="AI709" s="83"/>
      <c r="AJ709" s="83"/>
      <c r="AK709" s="83"/>
      <c r="AL709" s="84"/>
      <c r="AM709" s="84"/>
      <c r="AN709" s="84"/>
      <c r="AO709" s="82"/>
      <c r="AP709" s="82"/>
      <c r="AQ709" s="82"/>
      <c r="AR709" s="84"/>
      <c r="AS709" s="82"/>
      <c r="AT709" s="82"/>
      <c r="AU709" s="82"/>
    </row>
    <row r="710" spans="1:47" ht="15.75" customHeight="1">
      <c r="A710" s="82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  <c r="AD710" s="83"/>
      <c r="AE710" s="83"/>
      <c r="AF710" s="83"/>
      <c r="AG710" s="83"/>
      <c r="AH710" s="83"/>
      <c r="AI710" s="83"/>
      <c r="AJ710" s="83"/>
      <c r="AK710" s="83"/>
      <c r="AL710" s="84"/>
      <c r="AM710" s="84"/>
      <c r="AN710" s="84"/>
      <c r="AO710" s="82"/>
      <c r="AP710" s="82"/>
      <c r="AQ710" s="82"/>
      <c r="AR710" s="84"/>
      <c r="AS710" s="82"/>
      <c r="AT710" s="82"/>
      <c r="AU710" s="82"/>
    </row>
    <row r="711" spans="1:47" ht="15.75" customHeight="1">
      <c r="A711" s="82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  <c r="AD711" s="83"/>
      <c r="AE711" s="83"/>
      <c r="AF711" s="83"/>
      <c r="AG711" s="83"/>
      <c r="AH711" s="83"/>
      <c r="AI711" s="83"/>
      <c r="AJ711" s="83"/>
      <c r="AK711" s="83"/>
      <c r="AL711" s="84"/>
      <c r="AM711" s="84"/>
      <c r="AN711" s="84"/>
      <c r="AO711" s="82"/>
      <c r="AP711" s="82"/>
      <c r="AQ711" s="82"/>
      <c r="AR711" s="84"/>
      <c r="AS711" s="82"/>
      <c r="AT711" s="82"/>
      <c r="AU711" s="82"/>
    </row>
    <row r="712" spans="1:47" ht="15.75" customHeight="1">
      <c r="A712" s="82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  <c r="AD712" s="83"/>
      <c r="AE712" s="83"/>
      <c r="AF712" s="83"/>
      <c r="AG712" s="83"/>
      <c r="AH712" s="83"/>
      <c r="AI712" s="83"/>
      <c r="AJ712" s="83"/>
      <c r="AK712" s="83"/>
      <c r="AL712" s="84"/>
      <c r="AM712" s="84"/>
      <c r="AN712" s="84"/>
      <c r="AO712" s="82"/>
      <c r="AP712" s="82"/>
      <c r="AQ712" s="82"/>
      <c r="AR712" s="84"/>
      <c r="AS712" s="82"/>
      <c r="AT712" s="82"/>
      <c r="AU712" s="82"/>
    </row>
    <row r="713" spans="1:47" ht="15.75" customHeight="1">
      <c r="A713" s="82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  <c r="AD713" s="83"/>
      <c r="AE713" s="83"/>
      <c r="AF713" s="83"/>
      <c r="AG713" s="83"/>
      <c r="AH713" s="83"/>
      <c r="AI713" s="83"/>
      <c r="AJ713" s="83"/>
      <c r="AK713" s="83"/>
      <c r="AL713" s="84"/>
      <c r="AM713" s="84"/>
      <c r="AN713" s="84"/>
      <c r="AO713" s="82"/>
      <c r="AP713" s="82"/>
      <c r="AQ713" s="82"/>
      <c r="AR713" s="84"/>
      <c r="AS713" s="82"/>
      <c r="AT713" s="82"/>
      <c r="AU713" s="82"/>
    </row>
    <row r="714" spans="1:47" ht="15.75" customHeight="1">
      <c r="A714" s="82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  <c r="AD714" s="83"/>
      <c r="AE714" s="83"/>
      <c r="AF714" s="83"/>
      <c r="AG714" s="83"/>
      <c r="AH714" s="83"/>
      <c r="AI714" s="83"/>
      <c r="AJ714" s="83"/>
      <c r="AK714" s="83"/>
      <c r="AL714" s="84"/>
      <c r="AM714" s="84"/>
      <c r="AN714" s="84"/>
      <c r="AO714" s="82"/>
      <c r="AP714" s="82"/>
      <c r="AQ714" s="82"/>
      <c r="AR714" s="84"/>
      <c r="AS714" s="82"/>
      <c r="AT714" s="82"/>
      <c r="AU714" s="82"/>
    </row>
    <row r="715" spans="1:47" ht="15.75" customHeight="1">
      <c r="A715" s="82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  <c r="AD715" s="83"/>
      <c r="AE715" s="83"/>
      <c r="AF715" s="83"/>
      <c r="AG715" s="83"/>
      <c r="AH715" s="83"/>
      <c r="AI715" s="83"/>
      <c r="AJ715" s="83"/>
      <c r="AK715" s="83"/>
      <c r="AL715" s="84"/>
      <c r="AM715" s="84"/>
      <c r="AN715" s="84"/>
      <c r="AO715" s="82"/>
      <c r="AP715" s="82"/>
      <c r="AQ715" s="82"/>
      <c r="AR715" s="84"/>
      <c r="AS715" s="82"/>
      <c r="AT715" s="82"/>
      <c r="AU715" s="82"/>
    </row>
    <row r="716" spans="1:47" ht="15.75" customHeight="1">
      <c r="A716" s="82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  <c r="AD716" s="83"/>
      <c r="AE716" s="83"/>
      <c r="AF716" s="83"/>
      <c r="AG716" s="83"/>
      <c r="AH716" s="83"/>
      <c r="AI716" s="83"/>
      <c r="AJ716" s="83"/>
      <c r="AK716" s="83"/>
      <c r="AL716" s="84"/>
      <c r="AM716" s="84"/>
      <c r="AN716" s="84"/>
      <c r="AO716" s="82"/>
      <c r="AP716" s="82"/>
      <c r="AQ716" s="82"/>
      <c r="AR716" s="84"/>
      <c r="AS716" s="82"/>
      <c r="AT716" s="82"/>
      <c r="AU716" s="82"/>
    </row>
    <row r="717" spans="1:47" ht="15.75" customHeight="1">
      <c r="A717" s="82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  <c r="AD717" s="83"/>
      <c r="AE717" s="83"/>
      <c r="AF717" s="83"/>
      <c r="AG717" s="83"/>
      <c r="AH717" s="83"/>
      <c r="AI717" s="83"/>
      <c r="AJ717" s="83"/>
      <c r="AK717" s="83"/>
      <c r="AL717" s="84"/>
      <c r="AM717" s="84"/>
      <c r="AN717" s="84"/>
      <c r="AO717" s="82"/>
      <c r="AP717" s="82"/>
      <c r="AQ717" s="82"/>
      <c r="AR717" s="84"/>
      <c r="AS717" s="82"/>
      <c r="AT717" s="82"/>
      <c r="AU717" s="82"/>
    </row>
    <row r="718" spans="1:47" ht="15.75" customHeight="1">
      <c r="A718" s="82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  <c r="AD718" s="83"/>
      <c r="AE718" s="83"/>
      <c r="AF718" s="83"/>
      <c r="AG718" s="83"/>
      <c r="AH718" s="83"/>
      <c r="AI718" s="83"/>
      <c r="AJ718" s="83"/>
      <c r="AK718" s="83"/>
      <c r="AL718" s="84"/>
      <c r="AM718" s="84"/>
      <c r="AN718" s="84"/>
      <c r="AO718" s="82"/>
      <c r="AP718" s="82"/>
      <c r="AQ718" s="82"/>
      <c r="AR718" s="84"/>
      <c r="AS718" s="82"/>
      <c r="AT718" s="82"/>
      <c r="AU718" s="82"/>
    </row>
    <row r="719" spans="1:47" ht="15.75" customHeight="1">
      <c r="A719" s="82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  <c r="AD719" s="83"/>
      <c r="AE719" s="83"/>
      <c r="AF719" s="83"/>
      <c r="AG719" s="83"/>
      <c r="AH719" s="83"/>
      <c r="AI719" s="83"/>
      <c r="AJ719" s="83"/>
      <c r="AK719" s="83"/>
      <c r="AL719" s="84"/>
      <c r="AM719" s="84"/>
      <c r="AN719" s="84"/>
      <c r="AO719" s="82"/>
      <c r="AP719" s="82"/>
      <c r="AQ719" s="82"/>
      <c r="AR719" s="84"/>
      <c r="AS719" s="82"/>
      <c r="AT719" s="82"/>
      <c r="AU719" s="82"/>
    </row>
    <row r="720" spans="1:47" ht="15.75" customHeight="1">
      <c r="A720" s="82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  <c r="AD720" s="83"/>
      <c r="AE720" s="83"/>
      <c r="AF720" s="83"/>
      <c r="AG720" s="83"/>
      <c r="AH720" s="83"/>
      <c r="AI720" s="83"/>
      <c r="AJ720" s="83"/>
      <c r="AK720" s="83"/>
      <c r="AL720" s="84"/>
      <c r="AM720" s="84"/>
      <c r="AN720" s="84"/>
      <c r="AO720" s="82"/>
      <c r="AP720" s="82"/>
      <c r="AQ720" s="82"/>
      <c r="AR720" s="84"/>
      <c r="AS720" s="82"/>
      <c r="AT720" s="82"/>
      <c r="AU720" s="82"/>
    </row>
    <row r="721" spans="1:47" ht="15.75" customHeight="1">
      <c r="A721" s="82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  <c r="AD721" s="83"/>
      <c r="AE721" s="83"/>
      <c r="AF721" s="83"/>
      <c r="AG721" s="83"/>
      <c r="AH721" s="83"/>
      <c r="AI721" s="83"/>
      <c r="AJ721" s="83"/>
      <c r="AK721" s="83"/>
      <c r="AL721" s="84"/>
      <c r="AM721" s="84"/>
      <c r="AN721" s="84"/>
      <c r="AO721" s="82"/>
      <c r="AP721" s="82"/>
      <c r="AQ721" s="82"/>
      <c r="AR721" s="84"/>
      <c r="AS721" s="82"/>
      <c r="AT721" s="82"/>
      <c r="AU721" s="82"/>
    </row>
    <row r="722" spans="1:47" ht="15.75" customHeight="1">
      <c r="A722" s="82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  <c r="AD722" s="83"/>
      <c r="AE722" s="83"/>
      <c r="AF722" s="83"/>
      <c r="AG722" s="83"/>
      <c r="AH722" s="83"/>
      <c r="AI722" s="83"/>
      <c r="AJ722" s="83"/>
      <c r="AK722" s="83"/>
      <c r="AL722" s="84"/>
      <c r="AM722" s="84"/>
      <c r="AN722" s="84"/>
      <c r="AO722" s="82"/>
      <c r="AP722" s="82"/>
      <c r="AQ722" s="82"/>
      <c r="AR722" s="84"/>
      <c r="AS722" s="82"/>
      <c r="AT722" s="82"/>
      <c r="AU722" s="82"/>
    </row>
    <row r="723" spans="1:47" ht="15.75" customHeight="1">
      <c r="A723" s="82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  <c r="AD723" s="83"/>
      <c r="AE723" s="83"/>
      <c r="AF723" s="83"/>
      <c r="AG723" s="83"/>
      <c r="AH723" s="83"/>
      <c r="AI723" s="83"/>
      <c r="AJ723" s="83"/>
      <c r="AK723" s="83"/>
      <c r="AL723" s="84"/>
      <c r="AM723" s="84"/>
      <c r="AN723" s="84"/>
      <c r="AO723" s="82"/>
      <c r="AP723" s="82"/>
      <c r="AQ723" s="82"/>
      <c r="AR723" s="84"/>
      <c r="AS723" s="82"/>
      <c r="AT723" s="82"/>
      <c r="AU723" s="82"/>
    </row>
    <row r="724" spans="1:47" ht="15.75" customHeight="1">
      <c r="A724" s="82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  <c r="AD724" s="83"/>
      <c r="AE724" s="83"/>
      <c r="AF724" s="83"/>
      <c r="AG724" s="83"/>
      <c r="AH724" s="83"/>
      <c r="AI724" s="83"/>
      <c r="AJ724" s="83"/>
      <c r="AK724" s="83"/>
      <c r="AL724" s="84"/>
      <c r="AM724" s="84"/>
      <c r="AN724" s="84"/>
      <c r="AO724" s="82"/>
      <c r="AP724" s="82"/>
      <c r="AQ724" s="82"/>
      <c r="AR724" s="84"/>
      <c r="AS724" s="82"/>
      <c r="AT724" s="82"/>
      <c r="AU724" s="82"/>
    </row>
    <row r="725" spans="1:47" ht="15.75" customHeight="1">
      <c r="A725" s="82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  <c r="AD725" s="83"/>
      <c r="AE725" s="83"/>
      <c r="AF725" s="83"/>
      <c r="AG725" s="83"/>
      <c r="AH725" s="83"/>
      <c r="AI725" s="83"/>
      <c r="AJ725" s="83"/>
      <c r="AK725" s="83"/>
      <c r="AL725" s="84"/>
      <c r="AM725" s="84"/>
      <c r="AN725" s="84"/>
      <c r="AO725" s="82"/>
      <c r="AP725" s="82"/>
      <c r="AQ725" s="82"/>
      <c r="AR725" s="84"/>
      <c r="AS725" s="82"/>
      <c r="AT725" s="82"/>
      <c r="AU725" s="82"/>
    </row>
    <row r="726" spans="1:47" ht="15.75" customHeight="1">
      <c r="A726" s="82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  <c r="AD726" s="83"/>
      <c r="AE726" s="83"/>
      <c r="AF726" s="83"/>
      <c r="AG726" s="83"/>
      <c r="AH726" s="83"/>
      <c r="AI726" s="83"/>
      <c r="AJ726" s="83"/>
      <c r="AK726" s="83"/>
      <c r="AL726" s="84"/>
      <c r="AM726" s="84"/>
      <c r="AN726" s="84"/>
      <c r="AO726" s="82"/>
      <c r="AP726" s="82"/>
      <c r="AQ726" s="82"/>
      <c r="AR726" s="84"/>
      <c r="AS726" s="82"/>
      <c r="AT726" s="82"/>
      <c r="AU726" s="82"/>
    </row>
    <row r="727" spans="1:47" ht="15.75" customHeight="1">
      <c r="A727" s="82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  <c r="AD727" s="83"/>
      <c r="AE727" s="83"/>
      <c r="AF727" s="83"/>
      <c r="AG727" s="83"/>
      <c r="AH727" s="83"/>
      <c r="AI727" s="83"/>
      <c r="AJ727" s="83"/>
      <c r="AK727" s="83"/>
      <c r="AL727" s="84"/>
      <c r="AM727" s="84"/>
      <c r="AN727" s="84"/>
      <c r="AO727" s="82"/>
      <c r="AP727" s="82"/>
      <c r="AQ727" s="82"/>
      <c r="AR727" s="84"/>
      <c r="AS727" s="82"/>
      <c r="AT727" s="82"/>
      <c r="AU727" s="82"/>
    </row>
    <row r="728" spans="1:47" ht="15.75" customHeight="1">
      <c r="A728" s="82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  <c r="AD728" s="83"/>
      <c r="AE728" s="83"/>
      <c r="AF728" s="83"/>
      <c r="AG728" s="83"/>
      <c r="AH728" s="83"/>
      <c r="AI728" s="83"/>
      <c r="AJ728" s="83"/>
      <c r="AK728" s="83"/>
      <c r="AL728" s="84"/>
      <c r="AM728" s="84"/>
      <c r="AN728" s="84"/>
      <c r="AO728" s="82"/>
      <c r="AP728" s="82"/>
      <c r="AQ728" s="82"/>
      <c r="AR728" s="84"/>
      <c r="AS728" s="82"/>
      <c r="AT728" s="82"/>
      <c r="AU728" s="82"/>
    </row>
    <row r="729" spans="1:47" ht="15.75" customHeight="1">
      <c r="A729" s="82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  <c r="AD729" s="83"/>
      <c r="AE729" s="83"/>
      <c r="AF729" s="83"/>
      <c r="AG729" s="83"/>
      <c r="AH729" s="83"/>
      <c r="AI729" s="83"/>
      <c r="AJ729" s="83"/>
      <c r="AK729" s="83"/>
      <c r="AL729" s="84"/>
      <c r="AM729" s="84"/>
      <c r="AN729" s="84"/>
      <c r="AO729" s="82"/>
      <c r="AP729" s="82"/>
      <c r="AQ729" s="82"/>
      <c r="AR729" s="84"/>
      <c r="AS729" s="82"/>
      <c r="AT729" s="82"/>
      <c r="AU729" s="82"/>
    </row>
    <row r="730" spans="1:47" ht="15.75" customHeight="1">
      <c r="A730" s="82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  <c r="AD730" s="83"/>
      <c r="AE730" s="83"/>
      <c r="AF730" s="83"/>
      <c r="AG730" s="83"/>
      <c r="AH730" s="83"/>
      <c r="AI730" s="83"/>
      <c r="AJ730" s="83"/>
      <c r="AK730" s="83"/>
      <c r="AL730" s="84"/>
      <c r="AM730" s="84"/>
      <c r="AN730" s="84"/>
      <c r="AO730" s="82"/>
      <c r="AP730" s="82"/>
      <c r="AQ730" s="82"/>
      <c r="AR730" s="84"/>
      <c r="AS730" s="82"/>
      <c r="AT730" s="82"/>
      <c r="AU730" s="82"/>
    </row>
    <row r="731" spans="1:47" ht="15.75" customHeight="1">
      <c r="A731" s="82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  <c r="AD731" s="83"/>
      <c r="AE731" s="83"/>
      <c r="AF731" s="83"/>
      <c r="AG731" s="83"/>
      <c r="AH731" s="83"/>
      <c r="AI731" s="83"/>
      <c r="AJ731" s="83"/>
      <c r="AK731" s="83"/>
      <c r="AL731" s="84"/>
      <c r="AM731" s="84"/>
      <c r="AN731" s="84"/>
      <c r="AO731" s="82"/>
      <c r="AP731" s="82"/>
      <c r="AQ731" s="82"/>
      <c r="AR731" s="84"/>
      <c r="AS731" s="82"/>
      <c r="AT731" s="82"/>
      <c r="AU731" s="82"/>
    </row>
    <row r="732" spans="1:47" ht="15.75" customHeight="1">
      <c r="A732" s="82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  <c r="AD732" s="83"/>
      <c r="AE732" s="83"/>
      <c r="AF732" s="83"/>
      <c r="AG732" s="83"/>
      <c r="AH732" s="83"/>
      <c r="AI732" s="83"/>
      <c r="AJ732" s="83"/>
      <c r="AK732" s="83"/>
      <c r="AL732" s="84"/>
      <c r="AM732" s="84"/>
      <c r="AN732" s="84"/>
      <c r="AO732" s="82"/>
      <c r="AP732" s="82"/>
      <c r="AQ732" s="82"/>
      <c r="AR732" s="84"/>
      <c r="AS732" s="82"/>
      <c r="AT732" s="82"/>
      <c r="AU732" s="82"/>
    </row>
    <row r="733" spans="1:47" ht="15.75" customHeight="1">
      <c r="A733" s="82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  <c r="AD733" s="83"/>
      <c r="AE733" s="83"/>
      <c r="AF733" s="83"/>
      <c r="AG733" s="83"/>
      <c r="AH733" s="83"/>
      <c r="AI733" s="83"/>
      <c r="AJ733" s="83"/>
      <c r="AK733" s="83"/>
      <c r="AL733" s="84"/>
      <c r="AM733" s="84"/>
      <c r="AN733" s="84"/>
      <c r="AO733" s="82"/>
      <c r="AP733" s="82"/>
      <c r="AQ733" s="82"/>
      <c r="AR733" s="84"/>
      <c r="AS733" s="82"/>
      <c r="AT733" s="82"/>
      <c r="AU733" s="82"/>
    </row>
    <row r="734" spans="1:47" ht="15.75" customHeight="1">
      <c r="A734" s="82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  <c r="AD734" s="83"/>
      <c r="AE734" s="83"/>
      <c r="AF734" s="83"/>
      <c r="AG734" s="83"/>
      <c r="AH734" s="83"/>
      <c r="AI734" s="83"/>
      <c r="AJ734" s="83"/>
      <c r="AK734" s="83"/>
      <c r="AL734" s="84"/>
      <c r="AM734" s="84"/>
      <c r="AN734" s="84"/>
      <c r="AO734" s="82"/>
      <c r="AP734" s="82"/>
      <c r="AQ734" s="82"/>
      <c r="AR734" s="84"/>
      <c r="AS734" s="82"/>
      <c r="AT734" s="82"/>
      <c r="AU734" s="82"/>
    </row>
    <row r="735" spans="1:47" ht="15.75" customHeight="1">
      <c r="A735" s="82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  <c r="AD735" s="83"/>
      <c r="AE735" s="83"/>
      <c r="AF735" s="83"/>
      <c r="AG735" s="83"/>
      <c r="AH735" s="83"/>
      <c r="AI735" s="83"/>
      <c r="AJ735" s="83"/>
      <c r="AK735" s="83"/>
      <c r="AL735" s="84"/>
      <c r="AM735" s="84"/>
      <c r="AN735" s="84"/>
      <c r="AO735" s="82"/>
      <c r="AP735" s="82"/>
      <c r="AQ735" s="82"/>
      <c r="AR735" s="84"/>
      <c r="AS735" s="82"/>
      <c r="AT735" s="82"/>
      <c r="AU735" s="82"/>
    </row>
    <row r="736" spans="1:47" ht="15.75" customHeight="1">
      <c r="A736" s="82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  <c r="AD736" s="83"/>
      <c r="AE736" s="83"/>
      <c r="AF736" s="83"/>
      <c r="AG736" s="83"/>
      <c r="AH736" s="83"/>
      <c r="AI736" s="83"/>
      <c r="AJ736" s="83"/>
      <c r="AK736" s="83"/>
      <c r="AL736" s="84"/>
      <c r="AM736" s="84"/>
      <c r="AN736" s="84"/>
      <c r="AO736" s="82"/>
      <c r="AP736" s="82"/>
      <c r="AQ736" s="82"/>
      <c r="AR736" s="84"/>
      <c r="AS736" s="82"/>
      <c r="AT736" s="82"/>
      <c r="AU736" s="82"/>
    </row>
    <row r="737" spans="1:47" ht="15.75" customHeight="1">
      <c r="A737" s="82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  <c r="AD737" s="83"/>
      <c r="AE737" s="83"/>
      <c r="AF737" s="83"/>
      <c r="AG737" s="83"/>
      <c r="AH737" s="83"/>
      <c r="AI737" s="83"/>
      <c r="AJ737" s="83"/>
      <c r="AK737" s="83"/>
      <c r="AL737" s="84"/>
      <c r="AM737" s="84"/>
      <c r="AN737" s="84"/>
      <c r="AO737" s="82"/>
      <c r="AP737" s="82"/>
      <c r="AQ737" s="82"/>
      <c r="AR737" s="84"/>
      <c r="AS737" s="82"/>
      <c r="AT737" s="82"/>
      <c r="AU737" s="82"/>
    </row>
    <row r="738" spans="1:47" ht="15.75" customHeight="1">
      <c r="A738" s="82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  <c r="AD738" s="83"/>
      <c r="AE738" s="83"/>
      <c r="AF738" s="83"/>
      <c r="AG738" s="83"/>
      <c r="AH738" s="83"/>
      <c r="AI738" s="83"/>
      <c r="AJ738" s="83"/>
      <c r="AK738" s="83"/>
      <c r="AL738" s="84"/>
      <c r="AM738" s="84"/>
      <c r="AN738" s="84"/>
      <c r="AO738" s="82"/>
      <c r="AP738" s="82"/>
      <c r="AQ738" s="82"/>
      <c r="AR738" s="84"/>
      <c r="AS738" s="82"/>
      <c r="AT738" s="82"/>
      <c r="AU738" s="82"/>
    </row>
    <row r="739" spans="1:47" ht="15.75" customHeight="1">
      <c r="A739" s="82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  <c r="AD739" s="83"/>
      <c r="AE739" s="83"/>
      <c r="AF739" s="83"/>
      <c r="AG739" s="83"/>
      <c r="AH739" s="83"/>
      <c r="AI739" s="83"/>
      <c r="AJ739" s="83"/>
      <c r="AK739" s="83"/>
      <c r="AL739" s="84"/>
      <c r="AM739" s="84"/>
      <c r="AN739" s="84"/>
      <c r="AO739" s="82"/>
      <c r="AP739" s="82"/>
      <c r="AQ739" s="82"/>
      <c r="AR739" s="84"/>
      <c r="AS739" s="82"/>
      <c r="AT739" s="82"/>
      <c r="AU739" s="82"/>
    </row>
    <row r="740" spans="1:47" ht="15.75" customHeight="1">
      <c r="A740" s="82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  <c r="AD740" s="83"/>
      <c r="AE740" s="83"/>
      <c r="AF740" s="83"/>
      <c r="AG740" s="83"/>
      <c r="AH740" s="83"/>
      <c r="AI740" s="83"/>
      <c r="AJ740" s="83"/>
      <c r="AK740" s="83"/>
      <c r="AL740" s="84"/>
      <c r="AM740" s="84"/>
      <c r="AN740" s="84"/>
      <c r="AO740" s="82"/>
      <c r="AP740" s="82"/>
      <c r="AQ740" s="82"/>
      <c r="AR740" s="84"/>
      <c r="AS740" s="82"/>
      <c r="AT740" s="82"/>
      <c r="AU740" s="82"/>
    </row>
    <row r="741" spans="1:47" ht="15.75" customHeight="1">
      <c r="A741" s="82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  <c r="AD741" s="83"/>
      <c r="AE741" s="83"/>
      <c r="AF741" s="83"/>
      <c r="AG741" s="83"/>
      <c r="AH741" s="83"/>
      <c r="AI741" s="83"/>
      <c r="AJ741" s="83"/>
      <c r="AK741" s="83"/>
      <c r="AL741" s="84"/>
      <c r="AM741" s="84"/>
      <c r="AN741" s="84"/>
      <c r="AO741" s="82"/>
      <c r="AP741" s="82"/>
      <c r="AQ741" s="82"/>
      <c r="AR741" s="84"/>
      <c r="AS741" s="82"/>
      <c r="AT741" s="82"/>
      <c r="AU741" s="82"/>
    </row>
    <row r="742" spans="1:47" ht="15.75" customHeight="1">
      <c r="A742" s="82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  <c r="AD742" s="83"/>
      <c r="AE742" s="83"/>
      <c r="AF742" s="83"/>
      <c r="AG742" s="83"/>
      <c r="AH742" s="83"/>
      <c r="AI742" s="83"/>
      <c r="AJ742" s="83"/>
      <c r="AK742" s="83"/>
      <c r="AL742" s="84"/>
      <c r="AM742" s="84"/>
      <c r="AN742" s="84"/>
      <c r="AO742" s="82"/>
      <c r="AP742" s="82"/>
      <c r="AQ742" s="82"/>
      <c r="AR742" s="84"/>
      <c r="AS742" s="82"/>
      <c r="AT742" s="82"/>
      <c r="AU742" s="82"/>
    </row>
    <row r="743" spans="1:47" ht="15.75" customHeight="1">
      <c r="A743" s="82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  <c r="AD743" s="83"/>
      <c r="AE743" s="83"/>
      <c r="AF743" s="83"/>
      <c r="AG743" s="83"/>
      <c r="AH743" s="83"/>
      <c r="AI743" s="83"/>
      <c r="AJ743" s="83"/>
      <c r="AK743" s="83"/>
      <c r="AL743" s="84"/>
      <c r="AM743" s="84"/>
      <c r="AN743" s="84"/>
      <c r="AO743" s="82"/>
      <c r="AP743" s="82"/>
      <c r="AQ743" s="82"/>
      <c r="AR743" s="84"/>
      <c r="AS743" s="82"/>
      <c r="AT743" s="82"/>
      <c r="AU743" s="82"/>
    </row>
    <row r="744" spans="1:47" ht="15.75" customHeight="1">
      <c r="A744" s="82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  <c r="AD744" s="83"/>
      <c r="AE744" s="83"/>
      <c r="AF744" s="83"/>
      <c r="AG744" s="83"/>
      <c r="AH744" s="83"/>
      <c r="AI744" s="83"/>
      <c r="AJ744" s="83"/>
      <c r="AK744" s="83"/>
      <c r="AL744" s="84"/>
      <c r="AM744" s="84"/>
      <c r="AN744" s="84"/>
      <c r="AO744" s="82"/>
      <c r="AP744" s="82"/>
      <c r="AQ744" s="82"/>
      <c r="AR744" s="84"/>
      <c r="AS744" s="82"/>
      <c r="AT744" s="82"/>
      <c r="AU744" s="82"/>
    </row>
    <row r="745" spans="1:47" ht="15.75" customHeight="1">
      <c r="A745" s="82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  <c r="AD745" s="83"/>
      <c r="AE745" s="83"/>
      <c r="AF745" s="83"/>
      <c r="AG745" s="83"/>
      <c r="AH745" s="83"/>
      <c r="AI745" s="83"/>
      <c r="AJ745" s="83"/>
      <c r="AK745" s="83"/>
      <c r="AL745" s="84"/>
      <c r="AM745" s="84"/>
      <c r="AN745" s="84"/>
      <c r="AO745" s="82"/>
      <c r="AP745" s="82"/>
      <c r="AQ745" s="82"/>
      <c r="AR745" s="84"/>
      <c r="AS745" s="82"/>
      <c r="AT745" s="82"/>
      <c r="AU745" s="82"/>
    </row>
    <row r="746" spans="1:47" ht="15.75" customHeight="1">
      <c r="A746" s="82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  <c r="AD746" s="83"/>
      <c r="AE746" s="83"/>
      <c r="AF746" s="83"/>
      <c r="AG746" s="83"/>
      <c r="AH746" s="83"/>
      <c r="AI746" s="83"/>
      <c r="AJ746" s="83"/>
      <c r="AK746" s="83"/>
      <c r="AL746" s="84"/>
      <c r="AM746" s="84"/>
      <c r="AN746" s="84"/>
      <c r="AO746" s="82"/>
      <c r="AP746" s="82"/>
      <c r="AQ746" s="82"/>
      <c r="AR746" s="84"/>
      <c r="AS746" s="82"/>
      <c r="AT746" s="82"/>
      <c r="AU746" s="82"/>
    </row>
    <row r="747" spans="1:47" ht="15.75" customHeight="1">
      <c r="A747" s="82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  <c r="AD747" s="83"/>
      <c r="AE747" s="83"/>
      <c r="AF747" s="83"/>
      <c r="AG747" s="83"/>
      <c r="AH747" s="83"/>
      <c r="AI747" s="83"/>
      <c r="AJ747" s="83"/>
      <c r="AK747" s="83"/>
      <c r="AL747" s="84"/>
      <c r="AM747" s="84"/>
      <c r="AN747" s="84"/>
      <c r="AO747" s="82"/>
      <c r="AP747" s="82"/>
      <c r="AQ747" s="82"/>
      <c r="AR747" s="84"/>
      <c r="AS747" s="82"/>
      <c r="AT747" s="82"/>
      <c r="AU747" s="82"/>
    </row>
    <row r="748" spans="1:47" ht="15.75" customHeight="1">
      <c r="A748" s="82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  <c r="AD748" s="83"/>
      <c r="AE748" s="83"/>
      <c r="AF748" s="83"/>
      <c r="AG748" s="83"/>
      <c r="AH748" s="83"/>
      <c r="AI748" s="83"/>
      <c r="AJ748" s="83"/>
      <c r="AK748" s="83"/>
      <c r="AL748" s="84"/>
      <c r="AM748" s="84"/>
      <c r="AN748" s="84"/>
      <c r="AO748" s="82"/>
      <c r="AP748" s="82"/>
      <c r="AQ748" s="82"/>
      <c r="AR748" s="84"/>
      <c r="AS748" s="82"/>
      <c r="AT748" s="82"/>
      <c r="AU748" s="82"/>
    </row>
    <row r="749" spans="1:47" ht="15.75" customHeight="1">
      <c r="A749" s="82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  <c r="AD749" s="83"/>
      <c r="AE749" s="83"/>
      <c r="AF749" s="83"/>
      <c r="AG749" s="83"/>
      <c r="AH749" s="83"/>
      <c r="AI749" s="83"/>
      <c r="AJ749" s="83"/>
      <c r="AK749" s="83"/>
      <c r="AL749" s="84"/>
      <c r="AM749" s="84"/>
      <c r="AN749" s="84"/>
      <c r="AO749" s="82"/>
      <c r="AP749" s="82"/>
      <c r="AQ749" s="82"/>
      <c r="AR749" s="84"/>
      <c r="AS749" s="82"/>
      <c r="AT749" s="82"/>
      <c r="AU749" s="82"/>
    </row>
    <row r="750" spans="1:47" ht="15.75" customHeight="1">
      <c r="A750" s="82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  <c r="AD750" s="83"/>
      <c r="AE750" s="83"/>
      <c r="AF750" s="83"/>
      <c r="AG750" s="83"/>
      <c r="AH750" s="83"/>
      <c r="AI750" s="83"/>
      <c r="AJ750" s="83"/>
      <c r="AK750" s="83"/>
      <c r="AL750" s="84"/>
      <c r="AM750" s="84"/>
      <c r="AN750" s="84"/>
      <c r="AO750" s="82"/>
      <c r="AP750" s="82"/>
      <c r="AQ750" s="82"/>
      <c r="AR750" s="84"/>
      <c r="AS750" s="82"/>
      <c r="AT750" s="82"/>
      <c r="AU750" s="82"/>
    </row>
    <row r="751" spans="1:47" ht="15.75" customHeight="1">
      <c r="A751" s="82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  <c r="AD751" s="83"/>
      <c r="AE751" s="83"/>
      <c r="AF751" s="83"/>
      <c r="AG751" s="83"/>
      <c r="AH751" s="83"/>
      <c r="AI751" s="83"/>
      <c r="AJ751" s="83"/>
      <c r="AK751" s="83"/>
      <c r="AL751" s="84"/>
      <c r="AM751" s="84"/>
      <c r="AN751" s="84"/>
      <c r="AO751" s="82"/>
      <c r="AP751" s="82"/>
      <c r="AQ751" s="82"/>
      <c r="AR751" s="84"/>
      <c r="AS751" s="82"/>
      <c r="AT751" s="82"/>
      <c r="AU751" s="82"/>
    </row>
    <row r="752" spans="1:47" ht="15.75" customHeight="1">
      <c r="A752" s="82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  <c r="AD752" s="83"/>
      <c r="AE752" s="83"/>
      <c r="AF752" s="83"/>
      <c r="AG752" s="83"/>
      <c r="AH752" s="83"/>
      <c r="AI752" s="83"/>
      <c r="AJ752" s="83"/>
      <c r="AK752" s="83"/>
      <c r="AL752" s="84"/>
      <c r="AM752" s="84"/>
      <c r="AN752" s="84"/>
      <c r="AO752" s="82"/>
      <c r="AP752" s="82"/>
      <c r="AQ752" s="82"/>
      <c r="AR752" s="84"/>
      <c r="AS752" s="82"/>
      <c r="AT752" s="82"/>
      <c r="AU752" s="82"/>
    </row>
    <row r="753" spans="1:47" ht="15.75" customHeight="1">
      <c r="A753" s="82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  <c r="AD753" s="83"/>
      <c r="AE753" s="83"/>
      <c r="AF753" s="83"/>
      <c r="AG753" s="83"/>
      <c r="AH753" s="83"/>
      <c r="AI753" s="83"/>
      <c r="AJ753" s="83"/>
      <c r="AK753" s="83"/>
      <c r="AL753" s="84"/>
      <c r="AM753" s="84"/>
      <c r="AN753" s="84"/>
      <c r="AO753" s="82"/>
      <c r="AP753" s="82"/>
      <c r="AQ753" s="82"/>
      <c r="AR753" s="84"/>
      <c r="AS753" s="82"/>
      <c r="AT753" s="82"/>
      <c r="AU753" s="82"/>
    </row>
    <row r="754" spans="1:47" ht="15.75" customHeight="1">
      <c r="A754" s="82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  <c r="AD754" s="83"/>
      <c r="AE754" s="83"/>
      <c r="AF754" s="83"/>
      <c r="AG754" s="83"/>
      <c r="AH754" s="83"/>
      <c r="AI754" s="83"/>
      <c r="AJ754" s="83"/>
      <c r="AK754" s="83"/>
      <c r="AL754" s="84"/>
      <c r="AM754" s="84"/>
      <c r="AN754" s="84"/>
      <c r="AO754" s="82"/>
      <c r="AP754" s="82"/>
      <c r="AQ754" s="82"/>
      <c r="AR754" s="84"/>
      <c r="AS754" s="82"/>
      <c r="AT754" s="82"/>
      <c r="AU754" s="82"/>
    </row>
    <row r="755" spans="1:47" ht="15.75" customHeight="1">
      <c r="A755" s="82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  <c r="AD755" s="83"/>
      <c r="AE755" s="83"/>
      <c r="AF755" s="83"/>
      <c r="AG755" s="83"/>
      <c r="AH755" s="83"/>
      <c r="AI755" s="83"/>
      <c r="AJ755" s="83"/>
      <c r="AK755" s="83"/>
      <c r="AL755" s="84"/>
      <c r="AM755" s="84"/>
      <c r="AN755" s="84"/>
      <c r="AO755" s="82"/>
      <c r="AP755" s="82"/>
      <c r="AQ755" s="82"/>
      <c r="AR755" s="84"/>
      <c r="AS755" s="82"/>
      <c r="AT755" s="82"/>
      <c r="AU755" s="82"/>
    </row>
    <row r="756" spans="1:47" ht="15.75" customHeight="1">
      <c r="A756" s="82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  <c r="AD756" s="83"/>
      <c r="AE756" s="83"/>
      <c r="AF756" s="83"/>
      <c r="AG756" s="83"/>
      <c r="AH756" s="83"/>
      <c r="AI756" s="83"/>
      <c r="AJ756" s="83"/>
      <c r="AK756" s="83"/>
      <c r="AL756" s="84"/>
      <c r="AM756" s="84"/>
      <c r="AN756" s="84"/>
      <c r="AO756" s="82"/>
      <c r="AP756" s="82"/>
      <c r="AQ756" s="82"/>
      <c r="AR756" s="84"/>
      <c r="AS756" s="82"/>
      <c r="AT756" s="82"/>
      <c r="AU756" s="82"/>
    </row>
    <row r="757" spans="1:47" ht="15.75" customHeight="1">
      <c r="A757" s="82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  <c r="AD757" s="83"/>
      <c r="AE757" s="83"/>
      <c r="AF757" s="83"/>
      <c r="AG757" s="83"/>
      <c r="AH757" s="83"/>
      <c r="AI757" s="83"/>
      <c r="AJ757" s="83"/>
      <c r="AK757" s="83"/>
      <c r="AL757" s="84"/>
      <c r="AM757" s="84"/>
      <c r="AN757" s="84"/>
      <c r="AO757" s="82"/>
      <c r="AP757" s="82"/>
      <c r="AQ757" s="82"/>
      <c r="AR757" s="84"/>
      <c r="AS757" s="82"/>
      <c r="AT757" s="82"/>
      <c r="AU757" s="82"/>
    </row>
    <row r="758" spans="1:47" ht="15.75" customHeight="1">
      <c r="A758" s="82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  <c r="AD758" s="83"/>
      <c r="AE758" s="83"/>
      <c r="AF758" s="83"/>
      <c r="AG758" s="83"/>
      <c r="AH758" s="83"/>
      <c r="AI758" s="83"/>
      <c r="AJ758" s="83"/>
      <c r="AK758" s="83"/>
      <c r="AL758" s="84"/>
      <c r="AM758" s="84"/>
      <c r="AN758" s="84"/>
      <c r="AO758" s="82"/>
      <c r="AP758" s="82"/>
      <c r="AQ758" s="82"/>
      <c r="AR758" s="84"/>
      <c r="AS758" s="82"/>
      <c r="AT758" s="82"/>
      <c r="AU758" s="82"/>
    </row>
    <row r="759" spans="1:47" ht="15.75" customHeight="1">
      <c r="A759" s="82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  <c r="AD759" s="83"/>
      <c r="AE759" s="83"/>
      <c r="AF759" s="83"/>
      <c r="AG759" s="83"/>
      <c r="AH759" s="83"/>
      <c r="AI759" s="83"/>
      <c r="AJ759" s="83"/>
      <c r="AK759" s="83"/>
      <c r="AL759" s="84"/>
      <c r="AM759" s="84"/>
      <c r="AN759" s="84"/>
      <c r="AO759" s="82"/>
      <c r="AP759" s="82"/>
      <c r="AQ759" s="82"/>
      <c r="AR759" s="84"/>
      <c r="AS759" s="82"/>
      <c r="AT759" s="82"/>
      <c r="AU759" s="82"/>
    </row>
    <row r="760" spans="1:47" ht="15.75" customHeight="1">
      <c r="A760" s="82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  <c r="AD760" s="83"/>
      <c r="AE760" s="83"/>
      <c r="AF760" s="83"/>
      <c r="AG760" s="83"/>
      <c r="AH760" s="83"/>
      <c r="AI760" s="83"/>
      <c r="AJ760" s="83"/>
      <c r="AK760" s="83"/>
      <c r="AL760" s="84"/>
      <c r="AM760" s="84"/>
      <c r="AN760" s="84"/>
      <c r="AO760" s="82"/>
      <c r="AP760" s="82"/>
      <c r="AQ760" s="82"/>
      <c r="AR760" s="84"/>
      <c r="AS760" s="82"/>
      <c r="AT760" s="82"/>
      <c r="AU760" s="82"/>
    </row>
    <row r="761" spans="1:47" ht="15.75" customHeight="1">
      <c r="A761" s="82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  <c r="AD761" s="83"/>
      <c r="AE761" s="83"/>
      <c r="AF761" s="83"/>
      <c r="AG761" s="83"/>
      <c r="AH761" s="83"/>
      <c r="AI761" s="83"/>
      <c r="AJ761" s="83"/>
      <c r="AK761" s="83"/>
      <c r="AL761" s="84"/>
      <c r="AM761" s="84"/>
      <c r="AN761" s="84"/>
      <c r="AO761" s="82"/>
      <c r="AP761" s="82"/>
      <c r="AQ761" s="82"/>
      <c r="AR761" s="84"/>
      <c r="AS761" s="82"/>
      <c r="AT761" s="82"/>
      <c r="AU761" s="82"/>
    </row>
    <row r="762" spans="1:47" ht="15.75" customHeight="1">
      <c r="A762" s="82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  <c r="AD762" s="83"/>
      <c r="AE762" s="83"/>
      <c r="AF762" s="83"/>
      <c r="AG762" s="83"/>
      <c r="AH762" s="83"/>
      <c r="AI762" s="83"/>
      <c r="AJ762" s="83"/>
      <c r="AK762" s="83"/>
      <c r="AL762" s="84"/>
      <c r="AM762" s="84"/>
      <c r="AN762" s="84"/>
      <c r="AO762" s="82"/>
      <c r="AP762" s="82"/>
      <c r="AQ762" s="82"/>
      <c r="AR762" s="84"/>
      <c r="AS762" s="82"/>
      <c r="AT762" s="82"/>
      <c r="AU762" s="82"/>
    </row>
    <row r="763" spans="1:47" ht="15.75" customHeight="1">
      <c r="A763" s="82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  <c r="AD763" s="83"/>
      <c r="AE763" s="83"/>
      <c r="AF763" s="83"/>
      <c r="AG763" s="83"/>
      <c r="AH763" s="83"/>
      <c r="AI763" s="83"/>
      <c r="AJ763" s="83"/>
      <c r="AK763" s="83"/>
      <c r="AL763" s="84"/>
      <c r="AM763" s="84"/>
      <c r="AN763" s="84"/>
      <c r="AO763" s="82"/>
      <c r="AP763" s="82"/>
      <c r="AQ763" s="82"/>
      <c r="AR763" s="84"/>
      <c r="AS763" s="82"/>
      <c r="AT763" s="82"/>
      <c r="AU763" s="82"/>
    </row>
    <row r="764" spans="1:47" ht="15.75" customHeight="1">
      <c r="A764" s="82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  <c r="AD764" s="83"/>
      <c r="AE764" s="83"/>
      <c r="AF764" s="83"/>
      <c r="AG764" s="83"/>
      <c r="AH764" s="83"/>
      <c r="AI764" s="83"/>
      <c r="AJ764" s="83"/>
      <c r="AK764" s="83"/>
      <c r="AL764" s="84"/>
      <c r="AM764" s="84"/>
      <c r="AN764" s="84"/>
      <c r="AO764" s="82"/>
      <c r="AP764" s="82"/>
      <c r="AQ764" s="82"/>
      <c r="AR764" s="84"/>
      <c r="AS764" s="82"/>
      <c r="AT764" s="82"/>
      <c r="AU764" s="82"/>
    </row>
    <row r="765" spans="1:47" ht="15.75" customHeight="1">
      <c r="A765" s="82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  <c r="AD765" s="83"/>
      <c r="AE765" s="83"/>
      <c r="AF765" s="83"/>
      <c r="AG765" s="83"/>
      <c r="AH765" s="83"/>
      <c r="AI765" s="83"/>
      <c r="AJ765" s="83"/>
      <c r="AK765" s="83"/>
      <c r="AL765" s="84"/>
      <c r="AM765" s="84"/>
      <c r="AN765" s="84"/>
      <c r="AO765" s="82"/>
      <c r="AP765" s="82"/>
      <c r="AQ765" s="82"/>
      <c r="AR765" s="84"/>
      <c r="AS765" s="82"/>
      <c r="AT765" s="82"/>
      <c r="AU765" s="82"/>
    </row>
    <row r="766" spans="1:47" ht="15.75" customHeight="1">
      <c r="A766" s="82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  <c r="AD766" s="83"/>
      <c r="AE766" s="83"/>
      <c r="AF766" s="83"/>
      <c r="AG766" s="83"/>
      <c r="AH766" s="83"/>
      <c r="AI766" s="83"/>
      <c r="AJ766" s="83"/>
      <c r="AK766" s="83"/>
      <c r="AL766" s="84"/>
      <c r="AM766" s="84"/>
      <c r="AN766" s="84"/>
      <c r="AO766" s="82"/>
      <c r="AP766" s="82"/>
      <c r="AQ766" s="82"/>
      <c r="AR766" s="84"/>
      <c r="AS766" s="82"/>
      <c r="AT766" s="82"/>
      <c r="AU766" s="82"/>
    </row>
    <row r="767" spans="1:47" ht="15.75" customHeight="1">
      <c r="A767" s="82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  <c r="AD767" s="83"/>
      <c r="AE767" s="83"/>
      <c r="AF767" s="83"/>
      <c r="AG767" s="83"/>
      <c r="AH767" s="83"/>
      <c r="AI767" s="83"/>
      <c r="AJ767" s="83"/>
      <c r="AK767" s="83"/>
      <c r="AL767" s="84"/>
      <c r="AM767" s="84"/>
      <c r="AN767" s="84"/>
      <c r="AO767" s="82"/>
      <c r="AP767" s="82"/>
      <c r="AQ767" s="82"/>
      <c r="AR767" s="84"/>
      <c r="AS767" s="82"/>
      <c r="AT767" s="82"/>
      <c r="AU767" s="82"/>
    </row>
    <row r="768" spans="1:47" ht="15.75" customHeight="1">
      <c r="A768" s="82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  <c r="AD768" s="83"/>
      <c r="AE768" s="83"/>
      <c r="AF768" s="83"/>
      <c r="AG768" s="83"/>
      <c r="AH768" s="83"/>
      <c r="AI768" s="83"/>
      <c r="AJ768" s="83"/>
      <c r="AK768" s="83"/>
      <c r="AL768" s="84"/>
      <c r="AM768" s="84"/>
      <c r="AN768" s="84"/>
      <c r="AO768" s="82"/>
      <c r="AP768" s="82"/>
      <c r="AQ768" s="82"/>
      <c r="AR768" s="84"/>
      <c r="AS768" s="82"/>
      <c r="AT768" s="82"/>
      <c r="AU768" s="82"/>
    </row>
    <row r="769" spans="1:47" ht="15.75" customHeight="1">
      <c r="A769" s="82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  <c r="AD769" s="83"/>
      <c r="AE769" s="83"/>
      <c r="AF769" s="83"/>
      <c r="AG769" s="83"/>
      <c r="AH769" s="83"/>
      <c r="AI769" s="83"/>
      <c r="AJ769" s="83"/>
      <c r="AK769" s="83"/>
      <c r="AL769" s="84"/>
      <c r="AM769" s="84"/>
      <c r="AN769" s="84"/>
      <c r="AO769" s="82"/>
      <c r="AP769" s="82"/>
      <c r="AQ769" s="82"/>
      <c r="AR769" s="84"/>
      <c r="AS769" s="82"/>
      <c r="AT769" s="82"/>
      <c r="AU769" s="82"/>
    </row>
    <row r="770" spans="1:47" ht="15.75" customHeight="1">
      <c r="A770" s="82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  <c r="AD770" s="83"/>
      <c r="AE770" s="83"/>
      <c r="AF770" s="83"/>
      <c r="AG770" s="83"/>
      <c r="AH770" s="83"/>
      <c r="AI770" s="83"/>
      <c r="AJ770" s="83"/>
      <c r="AK770" s="83"/>
      <c r="AL770" s="84"/>
      <c r="AM770" s="84"/>
      <c r="AN770" s="84"/>
      <c r="AO770" s="82"/>
      <c r="AP770" s="82"/>
      <c r="AQ770" s="82"/>
      <c r="AR770" s="84"/>
      <c r="AS770" s="82"/>
      <c r="AT770" s="82"/>
      <c r="AU770" s="82"/>
    </row>
    <row r="771" spans="1:47" ht="15.75" customHeight="1">
      <c r="A771" s="82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  <c r="AD771" s="83"/>
      <c r="AE771" s="83"/>
      <c r="AF771" s="83"/>
      <c r="AG771" s="83"/>
      <c r="AH771" s="83"/>
      <c r="AI771" s="83"/>
      <c r="AJ771" s="83"/>
      <c r="AK771" s="83"/>
      <c r="AL771" s="84"/>
      <c r="AM771" s="84"/>
      <c r="AN771" s="84"/>
      <c r="AO771" s="82"/>
      <c r="AP771" s="82"/>
      <c r="AQ771" s="82"/>
      <c r="AR771" s="84"/>
      <c r="AS771" s="82"/>
      <c r="AT771" s="82"/>
      <c r="AU771" s="82"/>
    </row>
    <row r="772" spans="1:47" ht="15.75" customHeight="1">
      <c r="A772" s="82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  <c r="AD772" s="83"/>
      <c r="AE772" s="83"/>
      <c r="AF772" s="83"/>
      <c r="AG772" s="83"/>
      <c r="AH772" s="83"/>
      <c r="AI772" s="83"/>
      <c r="AJ772" s="83"/>
      <c r="AK772" s="83"/>
      <c r="AL772" s="84"/>
      <c r="AM772" s="84"/>
      <c r="AN772" s="84"/>
      <c r="AO772" s="82"/>
      <c r="AP772" s="82"/>
      <c r="AQ772" s="82"/>
      <c r="AR772" s="84"/>
      <c r="AS772" s="82"/>
      <c r="AT772" s="82"/>
      <c r="AU772" s="82"/>
    </row>
    <row r="773" spans="1:47" ht="15.75" customHeight="1">
      <c r="A773" s="82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  <c r="AD773" s="83"/>
      <c r="AE773" s="83"/>
      <c r="AF773" s="83"/>
      <c r="AG773" s="83"/>
      <c r="AH773" s="83"/>
      <c r="AI773" s="83"/>
      <c r="AJ773" s="83"/>
      <c r="AK773" s="83"/>
      <c r="AL773" s="84"/>
      <c r="AM773" s="84"/>
      <c r="AN773" s="84"/>
      <c r="AO773" s="82"/>
      <c r="AP773" s="82"/>
      <c r="AQ773" s="82"/>
      <c r="AR773" s="84"/>
      <c r="AS773" s="82"/>
      <c r="AT773" s="82"/>
      <c r="AU773" s="82"/>
    </row>
    <row r="774" spans="1:47" ht="15.75" customHeight="1">
      <c r="A774" s="82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  <c r="AD774" s="83"/>
      <c r="AE774" s="83"/>
      <c r="AF774" s="83"/>
      <c r="AG774" s="83"/>
      <c r="AH774" s="83"/>
      <c r="AI774" s="83"/>
      <c r="AJ774" s="83"/>
      <c r="AK774" s="83"/>
      <c r="AL774" s="84"/>
      <c r="AM774" s="84"/>
      <c r="AN774" s="84"/>
      <c r="AO774" s="82"/>
      <c r="AP774" s="82"/>
      <c r="AQ774" s="82"/>
      <c r="AR774" s="84"/>
      <c r="AS774" s="82"/>
      <c r="AT774" s="82"/>
      <c r="AU774" s="82"/>
    </row>
    <row r="775" spans="1:47" ht="15.75" customHeight="1">
      <c r="A775" s="82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  <c r="AD775" s="83"/>
      <c r="AE775" s="83"/>
      <c r="AF775" s="83"/>
      <c r="AG775" s="83"/>
      <c r="AH775" s="83"/>
      <c r="AI775" s="83"/>
      <c r="AJ775" s="83"/>
      <c r="AK775" s="83"/>
      <c r="AL775" s="84"/>
      <c r="AM775" s="84"/>
      <c r="AN775" s="84"/>
      <c r="AO775" s="82"/>
      <c r="AP775" s="82"/>
      <c r="AQ775" s="82"/>
      <c r="AR775" s="84"/>
      <c r="AS775" s="82"/>
      <c r="AT775" s="82"/>
      <c r="AU775" s="82"/>
    </row>
    <row r="776" spans="1:47" ht="15.75" customHeight="1">
      <c r="A776" s="82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  <c r="AD776" s="83"/>
      <c r="AE776" s="83"/>
      <c r="AF776" s="83"/>
      <c r="AG776" s="83"/>
      <c r="AH776" s="83"/>
      <c r="AI776" s="83"/>
      <c r="AJ776" s="83"/>
      <c r="AK776" s="83"/>
      <c r="AL776" s="84"/>
      <c r="AM776" s="84"/>
      <c r="AN776" s="84"/>
      <c r="AO776" s="82"/>
      <c r="AP776" s="82"/>
      <c r="AQ776" s="82"/>
      <c r="AR776" s="84"/>
      <c r="AS776" s="82"/>
      <c r="AT776" s="82"/>
      <c r="AU776" s="82"/>
    </row>
    <row r="777" spans="1:47" ht="15.75" customHeight="1">
      <c r="A777" s="82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  <c r="AD777" s="83"/>
      <c r="AE777" s="83"/>
      <c r="AF777" s="83"/>
      <c r="AG777" s="83"/>
      <c r="AH777" s="83"/>
      <c r="AI777" s="83"/>
      <c r="AJ777" s="83"/>
      <c r="AK777" s="83"/>
      <c r="AL777" s="84"/>
      <c r="AM777" s="84"/>
      <c r="AN777" s="84"/>
      <c r="AO777" s="82"/>
      <c r="AP777" s="82"/>
      <c r="AQ777" s="82"/>
      <c r="AR777" s="84"/>
      <c r="AS777" s="82"/>
      <c r="AT777" s="82"/>
      <c r="AU777" s="82"/>
    </row>
    <row r="778" spans="1:47" ht="15.75" customHeight="1">
      <c r="A778" s="82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  <c r="AD778" s="83"/>
      <c r="AE778" s="83"/>
      <c r="AF778" s="83"/>
      <c r="AG778" s="83"/>
      <c r="AH778" s="83"/>
      <c r="AI778" s="83"/>
      <c r="AJ778" s="83"/>
      <c r="AK778" s="83"/>
      <c r="AL778" s="84"/>
      <c r="AM778" s="84"/>
      <c r="AN778" s="84"/>
      <c r="AO778" s="82"/>
      <c r="AP778" s="82"/>
      <c r="AQ778" s="82"/>
      <c r="AR778" s="84"/>
      <c r="AS778" s="82"/>
      <c r="AT778" s="82"/>
      <c r="AU778" s="82"/>
    </row>
    <row r="779" spans="1:47" ht="15.75" customHeight="1">
      <c r="A779" s="82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  <c r="AD779" s="83"/>
      <c r="AE779" s="83"/>
      <c r="AF779" s="83"/>
      <c r="AG779" s="83"/>
      <c r="AH779" s="83"/>
      <c r="AI779" s="83"/>
      <c r="AJ779" s="83"/>
      <c r="AK779" s="83"/>
      <c r="AL779" s="84"/>
      <c r="AM779" s="84"/>
      <c r="AN779" s="84"/>
      <c r="AO779" s="82"/>
      <c r="AP779" s="82"/>
      <c r="AQ779" s="82"/>
      <c r="AR779" s="84"/>
      <c r="AS779" s="82"/>
      <c r="AT779" s="82"/>
      <c r="AU779" s="82"/>
    </row>
    <row r="780" spans="1:47" ht="15.75" customHeight="1">
      <c r="A780" s="82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  <c r="AD780" s="83"/>
      <c r="AE780" s="83"/>
      <c r="AF780" s="83"/>
      <c r="AG780" s="83"/>
      <c r="AH780" s="83"/>
      <c r="AI780" s="83"/>
      <c r="AJ780" s="83"/>
      <c r="AK780" s="83"/>
      <c r="AL780" s="84"/>
      <c r="AM780" s="84"/>
      <c r="AN780" s="84"/>
      <c r="AO780" s="82"/>
      <c r="AP780" s="82"/>
      <c r="AQ780" s="82"/>
      <c r="AR780" s="84"/>
      <c r="AS780" s="82"/>
      <c r="AT780" s="82"/>
      <c r="AU780" s="82"/>
    </row>
    <row r="781" spans="1:47" ht="15.75" customHeight="1">
      <c r="A781" s="82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  <c r="AD781" s="83"/>
      <c r="AE781" s="83"/>
      <c r="AF781" s="83"/>
      <c r="AG781" s="83"/>
      <c r="AH781" s="83"/>
      <c r="AI781" s="83"/>
      <c r="AJ781" s="83"/>
      <c r="AK781" s="83"/>
      <c r="AL781" s="84"/>
      <c r="AM781" s="84"/>
      <c r="AN781" s="84"/>
      <c r="AO781" s="82"/>
      <c r="AP781" s="82"/>
      <c r="AQ781" s="82"/>
      <c r="AR781" s="84"/>
      <c r="AS781" s="82"/>
      <c r="AT781" s="82"/>
      <c r="AU781" s="82"/>
    </row>
    <row r="782" spans="1:47" ht="15.75" customHeight="1">
      <c r="A782" s="82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  <c r="AD782" s="83"/>
      <c r="AE782" s="83"/>
      <c r="AF782" s="83"/>
      <c r="AG782" s="83"/>
      <c r="AH782" s="83"/>
      <c r="AI782" s="83"/>
      <c r="AJ782" s="83"/>
      <c r="AK782" s="83"/>
      <c r="AL782" s="84"/>
      <c r="AM782" s="84"/>
      <c r="AN782" s="84"/>
      <c r="AO782" s="82"/>
      <c r="AP782" s="82"/>
      <c r="AQ782" s="82"/>
      <c r="AR782" s="84"/>
      <c r="AS782" s="82"/>
      <c r="AT782" s="82"/>
      <c r="AU782" s="82"/>
    </row>
    <row r="783" spans="1:47" ht="15.75" customHeight="1">
      <c r="A783" s="82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  <c r="AD783" s="83"/>
      <c r="AE783" s="83"/>
      <c r="AF783" s="83"/>
      <c r="AG783" s="83"/>
      <c r="AH783" s="83"/>
      <c r="AI783" s="83"/>
      <c r="AJ783" s="83"/>
      <c r="AK783" s="83"/>
      <c r="AL783" s="84"/>
      <c r="AM783" s="84"/>
      <c r="AN783" s="84"/>
      <c r="AO783" s="82"/>
      <c r="AP783" s="82"/>
      <c r="AQ783" s="82"/>
      <c r="AR783" s="84"/>
      <c r="AS783" s="82"/>
      <c r="AT783" s="82"/>
      <c r="AU783" s="82"/>
    </row>
    <row r="784" spans="1:47" ht="15.75" customHeight="1">
      <c r="A784" s="82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  <c r="AD784" s="83"/>
      <c r="AE784" s="83"/>
      <c r="AF784" s="83"/>
      <c r="AG784" s="83"/>
      <c r="AH784" s="83"/>
      <c r="AI784" s="83"/>
      <c r="AJ784" s="83"/>
      <c r="AK784" s="83"/>
      <c r="AL784" s="84"/>
      <c r="AM784" s="84"/>
      <c r="AN784" s="84"/>
      <c r="AO784" s="82"/>
      <c r="AP784" s="82"/>
      <c r="AQ784" s="82"/>
      <c r="AR784" s="84"/>
      <c r="AS784" s="82"/>
      <c r="AT784" s="82"/>
      <c r="AU784" s="82"/>
    </row>
    <row r="785" spans="1:47" ht="15.75" customHeight="1">
      <c r="A785" s="82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  <c r="AD785" s="83"/>
      <c r="AE785" s="83"/>
      <c r="AF785" s="83"/>
      <c r="AG785" s="83"/>
      <c r="AH785" s="83"/>
      <c r="AI785" s="83"/>
      <c r="AJ785" s="83"/>
      <c r="AK785" s="83"/>
      <c r="AL785" s="84"/>
      <c r="AM785" s="84"/>
      <c r="AN785" s="84"/>
      <c r="AO785" s="82"/>
      <c r="AP785" s="82"/>
      <c r="AQ785" s="82"/>
      <c r="AR785" s="84"/>
      <c r="AS785" s="82"/>
      <c r="AT785" s="82"/>
      <c r="AU785" s="82"/>
    </row>
    <row r="786" spans="1:47" ht="15.75" customHeight="1">
      <c r="A786" s="82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  <c r="AD786" s="83"/>
      <c r="AE786" s="83"/>
      <c r="AF786" s="83"/>
      <c r="AG786" s="83"/>
      <c r="AH786" s="83"/>
      <c r="AI786" s="83"/>
      <c r="AJ786" s="83"/>
      <c r="AK786" s="83"/>
      <c r="AL786" s="84"/>
      <c r="AM786" s="84"/>
      <c r="AN786" s="84"/>
      <c r="AO786" s="82"/>
      <c r="AP786" s="82"/>
      <c r="AQ786" s="82"/>
      <c r="AR786" s="84"/>
      <c r="AS786" s="82"/>
      <c r="AT786" s="82"/>
      <c r="AU786" s="82"/>
    </row>
    <row r="787" spans="1:47" ht="15.75" customHeight="1">
      <c r="A787" s="82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  <c r="AD787" s="83"/>
      <c r="AE787" s="83"/>
      <c r="AF787" s="83"/>
      <c r="AG787" s="83"/>
      <c r="AH787" s="83"/>
      <c r="AI787" s="83"/>
      <c r="AJ787" s="83"/>
      <c r="AK787" s="83"/>
      <c r="AL787" s="84"/>
      <c r="AM787" s="84"/>
      <c r="AN787" s="84"/>
      <c r="AO787" s="82"/>
      <c r="AP787" s="82"/>
      <c r="AQ787" s="82"/>
      <c r="AR787" s="84"/>
      <c r="AS787" s="82"/>
      <c r="AT787" s="82"/>
      <c r="AU787" s="82"/>
    </row>
    <row r="788" spans="1:47" ht="15.75" customHeight="1">
      <c r="A788" s="82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  <c r="AD788" s="83"/>
      <c r="AE788" s="83"/>
      <c r="AF788" s="83"/>
      <c r="AG788" s="83"/>
      <c r="AH788" s="83"/>
      <c r="AI788" s="83"/>
      <c r="AJ788" s="83"/>
      <c r="AK788" s="83"/>
      <c r="AL788" s="84"/>
      <c r="AM788" s="84"/>
      <c r="AN788" s="84"/>
      <c r="AO788" s="82"/>
      <c r="AP788" s="82"/>
      <c r="AQ788" s="82"/>
      <c r="AR788" s="84"/>
      <c r="AS788" s="82"/>
      <c r="AT788" s="82"/>
      <c r="AU788" s="82"/>
    </row>
    <row r="789" spans="1:47" ht="15.75" customHeight="1">
      <c r="A789" s="82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  <c r="AD789" s="83"/>
      <c r="AE789" s="83"/>
      <c r="AF789" s="83"/>
      <c r="AG789" s="83"/>
      <c r="AH789" s="83"/>
      <c r="AI789" s="83"/>
      <c r="AJ789" s="83"/>
      <c r="AK789" s="83"/>
      <c r="AL789" s="84"/>
      <c r="AM789" s="84"/>
      <c r="AN789" s="84"/>
      <c r="AO789" s="82"/>
      <c r="AP789" s="82"/>
      <c r="AQ789" s="82"/>
      <c r="AR789" s="84"/>
      <c r="AS789" s="82"/>
      <c r="AT789" s="82"/>
      <c r="AU789" s="82"/>
    </row>
    <row r="790" spans="1:47" ht="15.75" customHeight="1">
      <c r="A790" s="82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  <c r="AD790" s="83"/>
      <c r="AE790" s="83"/>
      <c r="AF790" s="83"/>
      <c r="AG790" s="83"/>
      <c r="AH790" s="83"/>
      <c r="AI790" s="83"/>
      <c r="AJ790" s="83"/>
      <c r="AK790" s="83"/>
      <c r="AL790" s="84"/>
      <c r="AM790" s="84"/>
      <c r="AN790" s="84"/>
      <c r="AO790" s="82"/>
      <c r="AP790" s="82"/>
      <c r="AQ790" s="82"/>
      <c r="AR790" s="84"/>
      <c r="AS790" s="82"/>
      <c r="AT790" s="82"/>
      <c r="AU790" s="82"/>
    </row>
    <row r="791" spans="1:47" ht="15.75" customHeight="1">
      <c r="A791" s="82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  <c r="AD791" s="83"/>
      <c r="AE791" s="83"/>
      <c r="AF791" s="83"/>
      <c r="AG791" s="83"/>
      <c r="AH791" s="83"/>
      <c r="AI791" s="83"/>
      <c r="AJ791" s="83"/>
      <c r="AK791" s="83"/>
      <c r="AL791" s="84"/>
      <c r="AM791" s="84"/>
      <c r="AN791" s="84"/>
      <c r="AO791" s="82"/>
      <c r="AP791" s="82"/>
      <c r="AQ791" s="82"/>
      <c r="AR791" s="84"/>
      <c r="AS791" s="82"/>
      <c r="AT791" s="82"/>
      <c r="AU791" s="82"/>
    </row>
    <row r="792" spans="1:47" ht="15.75" customHeight="1">
      <c r="A792" s="82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  <c r="AD792" s="83"/>
      <c r="AE792" s="83"/>
      <c r="AF792" s="83"/>
      <c r="AG792" s="83"/>
      <c r="AH792" s="83"/>
      <c r="AI792" s="83"/>
      <c r="AJ792" s="83"/>
      <c r="AK792" s="83"/>
      <c r="AL792" s="84"/>
      <c r="AM792" s="84"/>
      <c r="AN792" s="84"/>
      <c r="AO792" s="82"/>
      <c r="AP792" s="82"/>
      <c r="AQ792" s="82"/>
      <c r="AR792" s="84"/>
      <c r="AS792" s="82"/>
      <c r="AT792" s="82"/>
      <c r="AU792" s="82"/>
    </row>
    <row r="793" spans="1:47" ht="15.75" customHeight="1">
      <c r="A793" s="82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  <c r="AD793" s="83"/>
      <c r="AE793" s="83"/>
      <c r="AF793" s="83"/>
      <c r="AG793" s="83"/>
      <c r="AH793" s="83"/>
      <c r="AI793" s="83"/>
      <c r="AJ793" s="83"/>
      <c r="AK793" s="83"/>
      <c r="AL793" s="84"/>
      <c r="AM793" s="84"/>
      <c r="AN793" s="84"/>
      <c r="AO793" s="82"/>
      <c r="AP793" s="82"/>
      <c r="AQ793" s="82"/>
      <c r="AR793" s="84"/>
      <c r="AS793" s="82"/>
      <c r="AT793" s="82"/>
      <c r="AU793" s="82"/>
    </row>
    <row r="794" spans="1:47" ht="15.75" customHeight="1">
      <c r="A794" s="82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  <c r="AD794" s="83"/>
      <c r="AE794" s="83"/>
      <c r="AF794" s="83"/>
      <c r="AG794" s="83"/>
      <c r="AH794" s="83"/>
      <c r="AI794" s="83"/>
      <c r="AJ794" s="83"/>
      <c r="AK794" s="83"/>
      <c r="AL794" s="84"/>
      <c r="AM794" s="84"/>
      <c r="AN794" s="84"/>
      <c r="AO794" s="82"/>
      <c r="AP794" s="82"/>
      <c r="AQ794" s="82"/>
      <c r="AR794" s="84"/>
      <c r="AS794" s="82"/>
      <c r="AT794" s="82"/>
      <c r="AU794" s="82"/>
    </row>
    <row r="795" spans="1:47" ht="15.75" customHeight="1">
      <c r="A795" s="82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  <c r="AD795" s="83"/>
      <c r="AE795" s="83"/>
      <c r="AF795" s="83"/>
      <c r="AG795" s="83"/>
      <c r="AH795" s="83"/>
      <c r="AI795" s="83"/>
      <c r="AJ795" s="83"/>
      <c r="AK795" s="83"/>
      <c r="AL795" s="84"/>
      <c r="AM795" s="84"/>
      <c r="AN795" s="84"/>
      <c r="AO795" s="82"/>
      <c r="AP795" s="82"/>
      <c r="AQ795" s="82"/>
      <c r="AR795" s="84"/>
      <c r="AS795" s="82"/>
      <c r="AT795" s="82"/>
      <c r="AU795" s="82"/>
    </row>
    <row r="796" spans="1:47" ht="15.75" customHeight="1">
      <c r="A796" s="82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  <c r="AD796" s="83"/>
      <c r="AE796" s="83"/>
      <c r="AF796" s="83"/>
      <c r="AG796" s="83"/>
      <c r="AH796" s="83"/>
      <c r="AI796" s="83"/>
      <c r="AJ796" s="83"/>
      <c r="AK796" s="83"/>
      <c r="AL796" s="84"/>
      <c r="AM796" s="84"/>
      <c r="AN796" s="84"/>
      <c r="AO796" s="82"/>
      <c r="AP796" s="82"/>
      <c r="AQ796" s="82"/>
      <c r="AR796" s="84"/>
      <c r="AS796" s="82"/>
      <c r="AT796" s="82"/>
      <c r="AU796" s="82"/>
    </row>
    <row r="797" spans="1:47" ht="15.75" customHeight="1">
      <c r="A797" s="82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  <c r="AD797" s="83"/>
      <c r="AE797" s="83"/>
      <c r="AF797" s="83"/>
      <c r="AG797" s="83"/>
      <c r="AH797" s="83"/>
      <c r="AI797" s="83"/>
      <c r="AJ797" s="83"/>
      <c r="AK797" s="83"/>
      <c r="AL797" s="84"/>
      <c r="AM797" s="84"/>
      <c r="AN797" s="84"/>
      <c r="AO797" s="82"/>
      <c r="AP797" s="82"/>
      <c r="AQ797" s="82"/>
      <c r="AR797" s="84"/>
      <c r="AS797" s="82"/>
      <c r="AT797" s="82"/>
      <c r="AU797" s="82"/>
    </row>
    <row r="798" spans="1:47" ht="15.75" customHeight="1">
      <c r="A798" s="82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  <c r="AD798" s="83"/>
      <c r="AE798" s="83"/>
      <c r="AF798" s="83"/>
      <c r="AG798" s="83"/>
      <c r="AH798" s="83"/>
      <c r="AI798" s="83"/>
      <c r="AJ798" s="83"/>
      <c r="AK798" s="83"/>
      <c r="AL798" s="84"/>
      <c r="AM798" s="84"/>
      <c r="AN798" s="84"/>
      <c r="AO798" s="82"/>
      <c r="AP798" s="82"/>
      <c r="AQ798" s="82"/>
      <c r="AR798" s="84"/>
      <c r="AS798" s="82"/>
      <c r="AT798" s="82"/>
      <c r="AU798" s="82"/>
    </row>
    <row r="799" spans="1:47" ht="15.75" customHeight="1">
      <c r="A799" s="82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  <c r="AD799" s="83"/>
      <c r="AE799" s="83"/>
      <c r="AF799" s="83"/>
      <c r="AG799" s="83"/>
      <c r="AH799" s="83"/>
      <c r="AI799" s="83"/>
      <c r="AJ799" s="83"/>
      <c r="AK799" s="83"/>
      <c r="AL799" s="84"/>
      <c r="AM799" s="84"/>
      <c r="AN799" s="84"/>
      <c r="AO799" s="82"/>
      <c r="AP799" s="82"/>
      <c r="AQ799" s="82"/>
      <c r="AR799" s="84"/>
      <c r="AS799" s="82"/>
      <c r="AT799" s="82"/>
      <c r="AU799" s="82"/>
    </row>
    <row r="800" spans="1:47" ht="15.75" customHeight="1">
      <c r="A800" s="82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  <c r="AD800" s="83"/>
      <c r="AE800" s="83"/>
      <c r="AF800" s="83"/>
      <c r="AG800" s="83"/>
      <c r="AH800" s="83"/>
      <c r="AI800" s="83"/>
      <c r="AJ800" s="83"/>
      <c r="AK800" s="83"/>
      <c r="AL800" s="84"/>
      <c r="AM800" s="84"/>
      <c r="AN800" s="84"/>
      <c r="AO800" s="82"/>
      <c r="AP800" s="82"/>
      <c r="AQ800" s="82"/>
      <c r="AR800" s="84"/>
      <c r="AS800" s="82"/>
      <c r="AT800" s="82"/>
      <c r="AU800" s="82"/>
    </row>
    <row r="801" spans="1:47" ht="15.75" customHeight="1">
      <c r="A801" s="82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  <c r="AD801" s="83"/>
      <c r="AE801" s="83"/>
      <c r="AF801" s="83"/>
      <c r="AG801" s="83"/>
      <c r="AH801" s="83"/>
      <c r="AI801" s="83"/>
      <c r="AJ801" s="83"/>
      <c r="AK801" s="83"/>
      <c r="AL801" s="84"/>
      <c r="AM801" s="84"/>
      <c r="AN801" s="84"/>
      <c r="AO801" s="82"/>
      <c r="AP801" s="82"/>
      <c r="AQ801" s="82"/>
      <c r="AR801" s="84"/>
      <c r="AS801" s="82"/>
      <c r="AT801" s="82"/>
      <c r="AU801" s="82"/>
    </row>
    <row r="802" spans="1:47" ht="15.75" customHeight="1">
      <c r="A802" s="82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  <c r="AD802" s="83"/>
      <c r="AE802" s="83"/>
      <c r="AF802" s="83"/>
      <c r="AG802" s="83"/>
      <c r="AH802" s="83"/>
      <c r="AI802" s="83"/>
      <c r="AJ802" s="83"/>
      <c r="AK802" s="83"/>
      <c r="AL802" s="84"/>
      <c r="AM802" s="84"/>
      <c r="AN802" s="84"/>
      <c r="AO802" s="82"/>
      <c r="AP802" s="82"/>
      <c r="AQ802" s="82"/>
      <c r="AR802" s="84"/>
      <c r="AS802" s="82"/>
      <c r="AT802" s="82"/>
      <c r="AU802" s="82"/>
    </row>
    <row r="803" spans="1:47" ht="15.75" customHeight="1">
      <c r="A803" s="82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  <c r="AD803" s="83"/>
      <c r="AE803" s="83"/>
      <c r="AF803" s="83"/>
      <c r="AG803" s="83"/>
      <c r="AH803" s="83"/>
      <c r="AI803" s="83"/>
      <c r="AJ803" s="83"/>
      <c r="AK803" s="83"/>
      <c r="AL803" s="84"/>
      <c r="AM803" s="84"/>
      <c r="AN803" s="84"/>
      <c r="AO803" s="82"/>
      <c r="AP803" s="82"/>
      <c r="AQ803" s="82"/>
      <c r="AR803" s="84"/>
      <c r="AS803" s="82"/>
      <c r="AT803" s="82"/>
      <c r="AU803" s="82"/>
    </row>
    <row r="804" spans="1:47" ht="15.75" customHeight="1">
      <c r="A804" s="82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  <c r="AD804" s="83"/>
      <c r="AE804" s="83"/>
      <c r="AF804" s="83"/>
      <c r="AG804" s="83"/>
      <c r="AH804" s="83"/>
      <c r="AI804" s="83"/>
      <c r="AJ804" s="83"/>
      <c r="AK804" s="83"/>
      <c r="AL804" s="84"/>
      <c r="AM804" s="84"/>
      <c r="AN804" s="84"/>
      <c r="AO804" s="82"/>
      <c r="AP804" s="82"/>
      <c r="AQ804" s="82"/>
      <c r="AR804" s="84"/>
      <c r="AS804" s="82"/>
      <c r="AT804" s="82"/>
      <c r="AU804" s="82"/>
    </row>
    <row r="805" spans="1:47" ht="15.75" customHeight="1">
      <c r="A805" s="82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  <c r="AD805" s="83"/>
      <c r="AE805" s="83"/>
      <c r="AF805" s="83"/>
      <c r="AG805" s="83"/>
      <c r="AH805" s="83"/>
      <c r="AI805" s="83"/>
      <c r="AJ805" s="83"/>
      <c r="AK805" s="83"/>
      <c r="AL805" s="84"/>
      <c r="AM805" s="84"/>
      <c r="AN805" s="84"/>
      <c r="AO805" s="82"/>
      <c r="AP805" s="82"/>
      <c r="AQ805" s="82"/>
      <c r="AR805" s="84"/>
      <c r="AS805" s="82"/>
      <c r="AT805" s="82"/>
      <c r="AU805" s="82"/>
    </row>
    <row r="806" spans="1:47" ht="15.75" customHeight="1">
      <c r="A806" s="82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  <c r="AD806" s="83"/>
      <c r="AE806" s="83"/>
      <c r="AF806" s="83"/>
      <c r="AG806" s="83"/>
      <c r="AH806" s="83"/>
      <c r="AI806" s="83"/>
      <c r="AJ806" s="83"/>
      <c r="AK806" s="83"/>
      <c r="AL806" s="84"/>
      <c r="AM806" s="84"/>
      <c r="AN806" s="84"/>
      <c r="AO806" s="82"/>
      <c r="AP806" s="82"/>
      <c r="AQ806" s="82"/>
      <c r="AR806" s="84"/>
      <c r="AS806" s="82"/>
      <c r="AT806" s="82"/>
      <c r="AU806" s="82"/>
    </row>
    <row r="807" spans="1:47" ht="15.75" customHeight="1">
      <c r="A807" s="82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  <c r="AD807" s="83"/>
      <c r="AE807" s="83"/>
      <c r="AF807" s="83"/>
      <c r="AG807" s="83"/>
      <c r="AH807" s="83"/>
      <c r="AI807" s="83"/>
      <c r="AJ807" s="83"/>
      <c r="AK807" s="83"/>
      <c r="AL807" s="84"/>
      <c r="AM807" s="84"/>
      <c r="AN807" s="84"/>
      <c r="AO807" s="82"/>
      <c r="AP807" s="82"/>
      <c r="AQ807" s="82"/>
      <c r="AR807" s="84"/>
      <c r="AS807" s="82"/>
      <c r="AT807" s="82"/>
      <c r="AU807" s="82"/>
    </row>
    <row r="808" spans="1:47" ht="15.75" customHeight="1">
      <c r="A808" s="82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  <c r="AD808" s="83"/>
      <c r="AE808" s="83"/>
      <c r="AF808" s="83"/>
      <c r="AG808" s="83"/>
      <c r="AH808" s="83"/>
      <c r="AI808" s="83"/>
      <c r="AJ808" s="83"/>
      <c r="AK808" s="83"/>
      <c r="AL808" s="84"/>
      <c r="AM808" s="84"/>
      <c r="AN808" s="84"/>
      <c r="AO808" s="82"/>
      <c r="AP808" s="82"/>
      <c r="AQ808" s="82"/>
      <c r="AR808" s="84"/>
      <c r="AS808" s="82"/>
      <c r="AT808" s="82"/>
      <c r="AU808" s="82"/>
    </row>
    <row r="809" spans="1:47" ht="15.75" customHeight="1">
      <c r="A809" s="82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  <c r="AD809" s="83"/>
      <c r="AE809" s="83"/>
      <c r="AF809" s="83"/>
      <c r="AG809" s="83"/>
      <c r="AH809" s="83"/>
      <c r="AI809" s="83"/>
      <c r="AJ809" s="83"/>
      <c r="AK809" s="83"/>
      <c r="AL809" s="84"/>
      <c r="AM809" s="84"/>
      <c r="AN809" s="84"/>
      <c r="AO809" s="82"/>
      <c r="AP809" s="82"/>
      <c r="AQ809" s="82"/>
      <c r="AR809" s="84"/>
      <c r="AS809" s="82"/>
      <c r="AT809" s="82"/>
      <c r="AU809" s="82"/>
    </row>
    <row r="810" spans="1:47" ht="15.75" customHeight="1">
      <c r="A810" s="82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  <c r="AD810" s="83"/>
      <c r="AE810" s="83"/>
      <c r="AF810" s="83"/>
      <c r="AG810" s="83"/>
      <c r="AH810" s="83"/>
      <c r="AI810" s="83"/>
      <c r="AJ810" s="83"/>
      <c r="AK810" s="83"/>
      <c r="AL810" s="84"/>
      <c r="AM810" s="84"/>
      <c r="AN810" s="84"/>
      <c r="AO810" s="82"/>
      <c r="AP810" s="82"/>
      <c r="AQ810" s="82"/>
      <c r="AR810" s="84"/>
      <c r="AS810" s="82"/>
      <c r="AT810" s="82"/>
      <c r="AU810" s="82"/>
    </row>
    <row r="811" spans="1:47" ht="15.75" customHeight="1">
      <c r="A811" s="82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  <c r="AD811" s="83"/>
      <c r="AE811" s="83"/>
      <c r="AF811" s="83"/>
      <c r="AG811" s="83"/>
      <c r="AH811" s="83"/>
      <c r="AI811" s="83"/>
      <c r="AJ811" s="83"/>
      <c r="AK811" s="83"/>
      <c r="AL811" s="84"/>
      <c r="AM811" s="84"/>
      <c r="AN811" s="84"/>
      <c r="AO811" s="82"/>
      <c r="AP811" s="82"/>
      <c r="AQ811" s="82"/>
      <c r="AR811" s="84"/>
      <c r="AS811" s="82"/>
      <c r="AT811" s="82"/>
      <c r="AU811" s="82"/>
    </row>
    <row r="812" spans="1:47" ht="15.75" customHeight="1">
      <c r="A812" s="82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  <c r="AD812" s="83"/>
      <c r="AE812" s="83"/>
      <c r="AF812" s="83"/>
      <c r="AG812" s="83"/>
      <c r="AH812" s="83"/>
      <c r="AI812" s="83"/>
      <c r="AJ812" s="83"/>
      <c r="AK812" s="83"/>
      <c r="AL812" s="84"/>
      <c r="AM812" s="84"/>
      <c r="AN812" s="84"/>
      <c r="AO812" s="82"/>
      <c r="AP812" s="82"/>
      <c r="AQ812" s="82"/>
      <c r="AR812" s="84"/>
      <c r="AS812" s="82"/>
      <c r="AT812" s="82"/>
      <c r="AU812" s="82"/>
    </row>
    <row r="813" spans="1:47" ht="15.75" customHeight="1">
      <c r="A813" s="82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  <c r="AD813" s="83"/>
      <c r="AE813" s="83"/>
      <c r="AF813" s="83"/>
      <c r="AG813" s="83"/>
      <c r="AH813" s="83"/>
      <c r="AI813" s="83"/>
      <c r="AJ813" s="83"/>
      <c r="AK813" s="83"/>
      <c r="AL813" s="84"/>
      <c r="AM813" s="84"/>
      <c r="AN813" s="84"/>
      <c r="AO813" s="82"/>
      <c r="AP813" s="82"/>
      <c r="AQ813" s="82"/>
      <c r="AR813" s="84"/>
      <c r="AS813" s="82"/>
      <c r="AT813" s="82"/>
      <c r="AU813" s="82"/>
    </row>
    <row r="814" spans="1:47" ht="15.75" customHeight="1">
      <c r="A814" s="82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  <c r="AD814" s="83"/>
      <c r="AE814" s="83"/>
      <c r="AF814" s="83"/>
      <c r="AG814" s="83"/>
      <c r="AH814" s="83"/>
      <c r="AI814" s="83"/>
      <c r="AJ814" s="83"/>
      <c r="AK814" s="83"/>
      <c r="AL814" s="84"/>
      <c r="AM814" s="84"/>
      <c r="AN814" s="84"/>
      <c r="AO814" s="82"/>
      <c r="AP814" s="82"/>
      <c r="AQ814" s="82"/>
      <c r="AR814" s="84"/>
      <c r="AS814" s="82"/>
      <c r="AT814" s="82"/>
      <c r="AU814" s="82"/>
    </row>
    <row r="815" spans="1:47" ht="15.75" customHeight="1">
      <c r="A815" s="82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  <c r="AD815" s="83"/>
      <c r="AE815" s="83"/>
      <c r="AF815" s="83"/>
      <c r="AG815" s="83"/>
      <c r="AH815" s="83"/>
      <c r="AI815" s="83"/>
      <c r="AJ815" s="83"/>
      <c r="AK815" s="83"/>
      <c r="AL815" s="84"/>
      <c r="AM815" s="84"/>
      <c r="AN815" s="84"/>
      <c r="AO815" s="82"/>
      <c r="AP815" s="82"/>
      <c r="AQ815" s="82"/>
      <c r="AR815" s="84"/>
      <c r="AS815" s="82"/>
      <c r="AT815" s="82"/>
      <c r="AU815" s="82"/>
    </row>
    <row r="816" spans="1:47" ht="15.75" customHeight="1">
      <c r="A816" s="82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  <c r="AD816" s="83"/>
      <c r="AE816" s="83"/>
      <c r="AF816" s="83"/>
      <c r="AG816" s="83"/>
      <c r="AH816" s="83"/>
      <c r="AI816" s="83"/>
      <c r="AJ816" s="83"/>
      <c r="AK816" s="83"/>
      <c r="AL816" s="84"/>
      <c r="AM816" s="84"/>
      <c r="AN816" s="84"/>
      <c r="AO816" s="82"/>
      <c r="AP816" s="82"/>
      <c r="AQ816" s="82"/>
      <c r="AR816" s="84"/>
      <c r="AS816" s="82"/>
      <c r="AT816" s="82"/>
      <c r="AU816" s="82"/>
    </row>
    <row r="817" spans="1:47" ht="15.75" customHeight="1">
      <c r="A817" s="82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  <c r="AD817" s="83"/>
      <c r="AE817" s="83"/>
      <c r="AF817" s="83"/>
      <c r="AG817" s="83"/>
      <c r="AH817" s="83"/>
      <c r="AI817" s="83"/>
      <c r="AJ817" s="83"/>
      <c r="AK817" s="83"/>
      <c r="AL817" s="84"/>
      <c r="AM817" s="84"/>
      <c r="AN817" s="84"/>
      <c r="AO817" s="82"/>
      <c r="AP817" s="82"/>
      <c r="AQ817" s="82"/>
      <c r="AR817" s="84"/>
      <c r="AS817" s="82"/>
      <c r="AT817" s="82"/>
      <c r="AU817" s="82"/>
    </row>
    <row r="818" spans="1:47" ht="15.75" customHeight="1">
      <c r="A818" s="82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  <c r="AD818" s="83"/>
      <c r="AE818" s="83"/>
      <c r="AF818" s="83"/>
      <c r="AG818" s="83"/>
      <c r="AH818" s="83"/>
      <c r="AI818" s="83"/>
      <c r="AJ818" s="83"/>
      <c r="AK818" s="83"/>
      <c r="AL818" s="84"/>
      <c r="AM818" s="84"/>
      <c r="AN818" s="84"/>
      <c r="AO818" s="82"/>
      <c r="AP818" s="82"/>
      <c r="AQ818" s="82"/>
      <c r="AR818" s="84"/>
      <c r="AS818" s="82"/>
      <c r="AT818" s="82"/>
      <c r="AU818" s="82"/>
    </row>
    <row r="819" spans="1:47" ht="15.75" customHeight="1">
      <c r="A819" s="82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  <c r="AD819" s="83"/>
      <c r="AE819" s="83"/>
      <c r="AF819" s="83"/>
      <c r="AG819" s="83"/>
      <c r="AH819" s="83"/>
      <c r="AI819" s="83"/>
      <c r="AJ819" s="83"/>
      <c r="AK819" s="83"/>
      <c r="AL819" s="84"/>
      <c r="AM819" s="84"/>
      <c r="AN819" s="84"/>
      <c r="AO819" s="82"/>
      <c r="AP819" s="82"/>
      <c r="AQ819" s="82"/>
      <c r="AR819" s="84"/>
      <c r="AS819" s="82"/>
      <c r="AT819" s="82"/>
      <c r="AU819" s="82"/>
    </row>
    <row r="820" spans="1:47" ht="15.75" customHeight="1">
      <c r="A820" s="82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  <c r="AD820" s="83"/>
      <c r="AE820" s="83"/>
      <c r="AF820" s="83"/>
      <c r="AG820" s="83"/>
      <c r="AH820" s="83"/>
      <c r="AI820" s="83"/>
      <c r="AJ820" s="83"/>
      <c r="AK820" s="83"/>
      <c r="AL820" s="84"/>
      <c r="AM820" s="84"/>
      <c r="AN820" s="84"/>
      <c r="AO820" s="82"/>
      <c r="AP820" s="82"/>
      <c r="AQ820" s="82"/>
      <c r="AR820" s="84"/>
      <c r="AS820" s="82"/>
      <c r="AT820" s="82"/>
      <c r="AU820" s="82"/>
    </row>
    <row r="821" spans="1:47" ht="15.75" customHeight="1">
      <c r="A821" s="82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  <c r="AD821" s="83"/>
      <c r="AE821" s="83"/>
      <c r="AF821" s="83"/>
      <c r="AG821" s="83"/>
      <c r="AH821" s="83"/>
      <c r="AI821" s="83"/>
      <c r="AJ821" s="83"/>
      <c r="AK821" s="83"/>
      <c r="AL821" s="84"/>
      <c r="AM821" s="84"/>
      <c r="AN821" s="84"/>
      <c r="AO821" s="82"/>
      <c r="AP821" s="82"/>
      <c r="AQ821" s="82"/>
      <c r="AR821" s="84"/>
      <c r="AS821" s="82"/>
      <c r="AT821" s="82"/>
      <c r="AU821" s="82"/>
    </row>
    <row r="822" spans="1:47" ht="15.75" customHeight="1">
      <c r="A822" s="82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  <c r="AD822" s="83"/>
      <c r="AE822" s="83"/>
      <c r="AF822" s="83"/>
      <c r="AG822" s="83"/>
      <c r="AH822" s="83"/>
      <c r="AI822" s="83"/>
      <c r="AJ822" s="83"/>
      <c r="AK822" s="83"/>
      <c r="AL822" s="84"/>
      <c r="AM822" s="84"/>
      <c r="AN822" s="84"/>
      <c r="AO822" s="82"/>
      <c r="AP822" s="82"/>
      <c r="AQ822" s="82"/>
      <c r="AR822" s="84"/>
      <c r="AS822" s="82"/>
      <c r="AT822" s="82"/>
      <c r="AU822" s="82"/>
    </row>
    <row r="823" spans="1:47" ht="15.75" customHeight="1">
      <c r="A823" s="82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  <c r="AD823" s="83"/>
      <c r="AE823" s="83"/>
      <c r="AF823" s="83"/>
      <c r="AG823" s="83"/>
      <c r="AH823" s="83"/>
      <c r="AI823" s="83"/>
      <c r="AJ823" s="83"/>
      <c r="AK823" s="83"/>
      <c r="AL823" s="84"/>
      <c r="AM823" s="84"/>
      <c r="AN823" s="84"/>
      <c r="AO823" s="82"/>
      <c r="AP823" s="82"/>
      <c r="AQ823" s="82"/>
      <c r="AR823" s="84"/>
      <c r="AS823" s="82"/>
      <c r="AT823" s="82"/>
      <c r="AU823" s="82"/>
    </row>
    <row r="824" spans="1:47" ht="15.75" customHeight="1">
      <c r="A824" s="82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  <c r="AD824" s="83"/>
      <c r="AE824" s="83"/>
      <c r="AF824" s="83"/>
      <c r="AG824" s="83"/>
      <c r="AH824" s="83"/>
      <c r="AI824" s="83"/>
      <c r="AJ824" s="83"/>
      <c r="AK824" s="83"/>
      <c r="AL824" s="84"/>
      <c r="AM824" s="84"/>
      <c r="AN824" s="84"/>
      <c r="AO824" s="82"/>
      <c r="AP824" s="82"/>
      <c r="AQ824" s="82"/>
      <c r="AR824" s="84"/>
      <c r="AS824" s="82"/>
      <c r="AT824" s="82"/>
      <c r="AU824" s="82"/>
    </row>
    <row r="825" spans="1:47" ht="15.75" customHeight="1">
      <c r="A825" s="82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  <c r="AD825" s="83"/>
      <c r="AE825" s="83"/>
      <c r="AF825" s="83"/>
      <c r="AG825" s="83"/>
      <c r="AH825" s="83"/>
      <c r="AI825" s="83"/>
      <c r="AJ825" s="83"/>
      <c r="AK825" s="83"/>
      <c r="AL825" s="84"/>
      <c r="AM825" s="84"/>
      <c r="AN825" s="84"/>
      <c r="AO825" s="82"/>
      <c r="AP825" s="82"/>
      <c r="AQ825" s="82"/>
      <c r="AR825" s="84"/>
      <c r="AS825" s="82"/>
      <c r="AT825" s="82"/>
      <c r="AU825" s="82"/>
    </row>
    <row r="826" spans="1:47" ht="15.75" customHeight="1">
      <c r="A826" s="82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  <c r="AD826" s="83"/>
      <c r="AE826" s="83"/>
      <c r="AF826" s="83"/>
      <c r="AG826" s="83"/>
      <c r="AH826" s="83"/>
      <c r="AI826" s="83"/>
      <c r="AJ826" s="83"/>
      <c r="AK826" s="83"/>
      <c r="AL826" s="84"/>
      <c r="AM826" s="84"/>
      <c r="AN826" s="84"/>
      <c r="AO826" s="82"/>
      <c r="AP826" s="82"/>
      <c r="AQ826" s="82"/>
      <c r="AR826" s="84"/>
      <c r="AS826" s="82"/>
      <c r="AT826" s="82"/>
      <c r="AU826" s="82"/>
    </row>
    <row r="827" spans="1:47" ht="15.75" customHeight="1">
      <c r="A827" s="82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  <c r="AD827" s="83"/>
      <c r="AE827" s="83"/>
      <c r="AF827" s="83"/>
      <c r="AG827" s="83"/>
      <c r="AH827" s="83"/>
      <c r="AI827" s="83"/>
      <c r="AJ827" s="83"/>
      <c r="AK827" s="83"/>
      <c r="AL827" s="84"/>
      <c r="AM827" s="84"/>
      <c r="AN827" s="84"/>
      <c r="AO827" s="82"/>
      <c r="AP827" s="82"/>
      <c r="AQ827" s="82"/>
      <c r="AR827" s="84"/>
      <c r="AS827" s="82"/>
      <c r="AT827" s="82"/>
      <c r="AU827" s="82"/>
    </row>
    <row r="828" spans="1:47" ht="15.75" customHeight="1">
      <c r="A828" s="82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  <c r="AD828" s="83"/>
      <c r="AE828" s="83"/>
      <c r="AF828" s="83"/>
      <c r="AG828" s="83"/>
      <c r="AH828" s="83"/>
      <c r="AI828" s="83"/>
      <c r="AJ828" s="83"/>
      <c r="AK828" s="83"/>
      <c r="AL828" s="84"/>
      <c r="AM828" s="84"/>
      <c r="AN828" s="84"/>
      <c r="AO828" s="82"/>
      <c r="AP828" s="82"/>
      <c r="AQ828" s="82"/>
      <c r="AR828" s="84"/>
      <c r="AS828" s="82"/>
      <c r="AT828" s="82"/>
      <c r="AU828" s="82"/>
    </row>
    <row r="829" spans="1:47" ht="15.75" customHeight="1">
      <c r="A829" s="82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  <c r="AD829" s="83"/>
      <c r="AE829" s="83"/>
      <c r="AF829" s="83"/>
      <c r="AG829" s="83"/>
      <c r="AH829" s="83"/>
      <c r="AI829" s="83"/>
      <c r="AJ829" s="83"/>
      <c r="AK829" s="83"/>
      <c r="AL829" s="84"/>
      <c r="AM829" s="84"/>
      <c r="AN829" s="84"/>
      <c r="AO829" s="82"/>
      <c r="AP829" s="82"/>
      <c r="AQ829" s="82"/>
      <c r="AR829" s="84"/>
      <c r="AS829" s="82"/>
      <c r="AT829" s="82"/>
      <c r="AU829" s="82"/>
    </row>
    <row r="830" spans="1:47" ht="15.75" customHeight="1">
      <c r="A830" s="82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  <c r="AD830" s="83"/>
      <c r="AE830" s="83"/>
      <c r="AF830" s="83"/>
      <c r="AG830" s="83"/>
      <c r="AH830" s="83"/>
      <c r="AI830" s="83"/>
      <c r="AJ830" s="83"/>
      <c r="AK830" s="83"/>
      <c r="AL830" s="84"/>
      <c r="AM830" s="84"/>
      <c r="AN830" s="84"/>
      <c r="AO830" s="82"/>
      <c r="AP830" s="82"/>
      <c r="AQ830" s="82"/>
      <c r="AR830" s="84"/>
      <c r="AS830" s="82"/>
      <c r="AT830" s="82"/>
      <c r="AU830" s="82"/>
    </row>
    <row r="831" spans="1:47" ht="15.75" customHeight="1">
      <c r="A831" s="82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  <c r="AD831" s="83"/>
      <c r="AE831" s="83"/>
      <c r="AF831" s="83"/>
      <c r="AG831" s="83"/>
      <c r="AH831" s="83"/>
      <c r="AI831" s="83"/>
      <c r="AJ831" s="83"/>
      <c r="AK831" s="83"/>
      <c r="AL831" s="84"/>
      <c r="AM831" s="84"/>
      <c r="AN831" s="84"/>
      <c r="AO831" s="82"/>
      <c r="AP831" s="82"/>
      <c r="AQ831" s="82"/>
      <c r="AR831" s="84"/>
      <c r="AS831" s="82"/>
      <c r="AT831" s="82"/>
      <c r="AU831" s="82"/>
    </row>
    <row r="832" spans="1:47" ht="15.75" customHeight="1">
      <c r="A832" s="82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  <c r="AD832" s="83"/>
      <c r="AE832" s="83"/>
      <c r="AF832" s="83"/>
      <c r="AG832" s="83"/>
      <c r="AH832" s="83"/>
      <c r="AI832" s="83"/>
      <c r="AJ832" s="83"/>
      <c r="AK832" s="83"/>
      <c r="AL832" s="84"/>
      <c r="AM832" s="84"/>
      <c r="AN832" s="84"/>
      <c r="AO832" s="82"/>
      <c r="AP832" s="82"/>
      <c r="AQ832" s="82"/>
      <c r="AR832" s="84"/>
      <c r="AS832" s="82"/>
      <c r="AT832" s="82"/>
      <c r="AU832" s="82"/>
    </row>
    <row r="833" spans="1:47" ht="15.75" customHeight="1">
      <c r="A833" s="82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  <c r="AD833" s="83"/>
      <c r="AE833" s="83"/>
      <c r="AF833" s="83"/>
      <c r="AG833" s="83"/>
      <c r="AH833" s="83"/>
      <c r="AI833" s="83"/>
      <c r="AJ833" s="83"/>
      <c r="AK833" s="83"/>
      <c r="AL833" s="84"/>
      <c r="AM833" s="84"/>
      <c r="AN833" s="84"/>
      <c r="AO833" s="82"/>
      <c r="AP833" s="82"/>
      <c r="AQ833" s="82"/>
      <c r="AR833" s="84"/>
      <c r="AS833" s="82"/>
      <c r="AT833" s="82"/>
      <c r="AU833" s="82"/>
    </row>
    <row r="834" spans="1:47" ht="15.75" customHeight="1">
      <c r="A834" s="82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  <c r="AD834" s="83"/>
      <c r="AE834" s="83"/>
      <c r="AF834" s="83"/>
      <c r="AG834" s="83"/>
      <c r="AH834" s="83"/>
      <c r="AI834" s="83"/>
      <c r="AJ834" s="83"/>
      <c r="AK834" s="83"/>
      <c r="AL834" s="84"/>
      <c r="AM834" s="84"/>
      <c r="AN834" s="84"/>
      <c r="AO834" s="82"/>
      <c r="AP834" s="82"/>
      <c r="AQ834" s="82"/>
      <c r="AR834" s="84"/>
      <c r="AS834" s="82"/>
      <c r="AT834" s="82"/>
      <c r="AU834" s="82"/>
    </row>
    <row r="835" spans="1:47" ht="15.75" customHeight="1">
      <c r="A835" s="82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  <c r="AD835" s="83"/>
      <c r="AE835" s="83"/>
      <c r="AF835" s="83"/>
      <c r="AG835" s="83"/>
      <c r="AH835" s="83"/>
      <c r="AI835" s="83"/>
      <c r="AJ835" s="83"/>
      <c r="AK835" s="83"/>
      <c r="AL835" s="84"/>
      <c r="AM835" s="84"/>
      <c r="AN835" s="84"/>
      <c r="AO835" s="82"/>
      <c r="AP835" s="82"/>
      <c r="AQ835" s="82"/>
      <c r="AR835" s="84"/>
      <c r="AS835" s="82"/>
      <c r="AT835" s="82"/>
      <c r="AU835" s="82"/>
    </row>
    <row r="836" spans="1:47" ht="15.75" customHeight="1">
      <c r="A836" s="82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  <c r="AD836" s="83"/>
      <c r="AE836" s="83"/>
      <c r="AF836" s="83"/>
      <c r="AG836" s="83"/>
      <c r="AH836" s="83"/>
      <c r="AI836" s="83"/>
      <c r="AJ836" s="83"/>
      <c r="AK836" s="83"/>
      <c r="AL836" s="84"/>
      <c r="AM836" s="84"/>
      <c r="AN836" s="84"/>
      <c r="AO836" s="82"/>
      <c r="AP836" s="82"/>
      <c r="AQ836" s="82"/>
      <c r="AR836" s="84"/>
      <c r="AS836" s="82"/>
      <c r="AT836" s="82"/>
      <c r="AU836" s="82"/>
    </row>
    <row r="837" spans="1:47" ht="15.75" customHeight="1">
      <c r="A837" s="82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  <c r="AD837" s="83"/>
      <c r="AE837" s="83"/>
      <c r="AF837" s="83"/>
      <c r="AG837" s="83"/>
      <c r="AH837" s="83"/>
      <c r="AI837" s="83"/>
      <c r="AJ837" s="83"/>
      <c r="AK837" s="83"/>
      <c r="AL837" s="84"/>
      <c r="AM837" s="84"/>
      <c r="AN837" s="84"/>
      <c r="AO837" s="82"/>
      <c r="AP837" s="82"/>
      <c r="AQ837" s="82"/>
      <c r="AR837" s="84"/>
      <c r="AS837" s="82"/>
      <c r="AT837" s="82"/>
      <c r="AU837" s="82"/>
    </row>
    <row r="838" spans="1:47" ht="15.75" customHeight="1">
      <c r="A838" s="82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  <c r="AD838" s="83"/>
      <c r="AE838" s="83"/>
      <c r="AF838" s="83"/>
      <c r="AG838" s="83"/>
      <c r="AH838" s="83"/>
      <c r="AI838" s="83"/>
      <c r="AJ838" s="83"/>
      <c r="AK838" s="83"/>
      <c r="AL838" s="84"/>
      <c r="AM838" s="84"/>
      <c r="AN838" s="84"/>
      <c r="AO838" s="82"/>
      <c r="AP838" s="82"/>
      <c r="AQ838" s="82"/>
      <c r="AR838" s="84"/>
      <c r="AS838" s="82"/>
      <c r="AT838" s="82"/>
      <c r="AU838" s="82"/>
    </row>
    <row r="839" spans="1:47" ht="15.75" customHeight="1">
      <c r="A839" s="82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  <c r="AD839" s="83"/>
      <c r="AE839" s="83"/>
      <c r="AF839" s="83"/>
      <c r="AG839" s="83"/>
      <c r="AH839" s="83"/>
      <c r="AI839" s="83"/>
      <c r="AJ839" s="83"/>
      <c r="AK839" s="83"/>
      <c r="AL839" s="84"/>
      <c r="AM839" s="84"/>
      <c r="AN839" s="84"/>
      <c r="AO839" s="82"/>
      <c r="AP839" s="82"/>
      <c r="AQ839" s="82"/>
      <c r="AR839" s="84"/>
      <c r="AS839" s="82"/>
      <c r="AT839" s="82"/>
      <c r="AU839" s="82"/>
    </row>
    <row r="840" spans="1:47" ht="15.75" customHeight="1">
      <c r="A840" s="82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  <c r="AD840" s="83"/>
      <c r="AE840" s="83"/>
      <c r="AF840" s="83"/>
      <c r="AG840" s="83"/>
      <c r="AH840" s="83"/>
      <c r="AI840" s="83"/>
      <c r="AJ840" s="83"/>
      <c r="AK840" s="83"/>
      <c r="AL840" s="84"/>
      <c r="AM840" s="84"/>
      <c r="AN840" s="84"/>
      <c r="AO840" s="82"/>
      <c r="AP840" s="82"/>
      <c r="AQ840" s="82"/>
      <c r="AR840" s="84"/>
      <c r="AS840" s="82"/>
      <c r="AT840" s="82"/>
      <c r="AU840" s="82"/>
    </row>
    <row r="841" spans="1:47" ht="15.75" customHeight="1">
      <c r="A841" s="82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  <c r="AD841" s="83"/>
      <c r="AE841" s="83"/>
      <c r="AF841" s="83"/>
      <c r="AG841" s="83"/>
      <c r="AH841" s="83"/>
      <c r="AI841" s="83"/>
      <c r="AJ841" s="83"/>
      <c r="AK841" s="83"/>
      <c r="AL841" s="84"/>
      <c r="AM841" s="84"/>
      <c r="AN841" s="84"/>
      <c r="AO841" s="82"/>
      <c r="AP841" s="82"/>
      <c r="AQ841" s="82"/>
      <c r="AR841" s="84"/>
      <c r="AS841" s="82"/>
      <c r="AT841" s="82"/>
      <c r="AU841" s="82"/>
    </row>
    <row r="842" spans="1:47" ht="15.75" customHeight="1">
      <c r="A842" s="82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  <c r="AD842" s="83"/>
      <c r="AE842" s="83"/>
      <c r="AF842" s="83"/>
      <c r="AG842" s="83"/>
      <c r="AH842" s="83"/>
      <c r="AI842" s="83"/>
      <c r="AJ842" s="83"/>
      <c r="AK842" s="83"/>
      <c r="AL842" s="84"/>
      <c r="AM842" s="84"/>
      <c r="AN842" s="84"/>
      <c r="AO842" s="82"/>
      <c r="AP842" s="82"/>
      <c r="AQ842" s="82"/>
      <c r="AR842" s="84"/>
      <c r="AS842" s="82"/>
      <c r="AT842" s="82"/>
      <c r="AU842" s="82"/>
    </row>
    <row r="843" spans="1:47" ht="15.75" customHeight="1">
      <c r="A843" s="82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  <c r="AD843" s="83"/>
      <c r="AE843" s="83"/>
      <c r="AF843" s="83"/>
      <c r="AG843" s="83"/>
      <c r="AH843" s="83"/>
      <c r="AI843" s="83"/>
      <c r="AJ843" s="83"/>
      <c r="AK843" s="83"/>
      <c r="AL843" s="84"/>
      <c r="AM843" s="84"/>
      <c r="AN843" s="84"/>
      <c r="AO843" s="82"/>
      <c r="AP843" s="82"/>
      <c r="AQ843" s="82"/>
      <c r="AR843" s="84"/>
      <c r="AS843" s="82"/>
      <c r="AT843" s="82"/>
      <c r="AU843" s="82"/>
    </row>
    <row r="844" spans="1:47" ht="15.75" customHeight="1">
      <c r="A844" s="82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  <c r="AD844" s="83"/>
      <c r="AE844" s="83"/>
      <c r="AF844" s="83"/>
      <c r="AG844" s="83"/>
      <c r="AH844" s="83"/>
      <c r="AI844" s="83"/>
      <c r="AJ844" s="83"/>
      <c r="AK844" s="83"/>
      <c r="AL844" s="84"/>
      <c r="AM844" s="84"/>
      <c r="AN844" s="84"/>
      <c r="AO844" s="82"/>
      <c r="AP844" s="82"/>
      <c r="AQ844" s="82"/>
      <c r="AR844" s="84"/>
      <c r="AS844" s="82"/>
      <c r="AT844" s="82"/>
      <c r="AU844" s="82"/>
    </row>
    <row r="845" spans="1:47" ht="15.75" customHeight="1">
      <c r="A845" s="82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  <c r="AD845" s="83"/>
      <c r="AE845" s="83"/>
      <c r="AF845" s="83"/>
      <c r="AG845" s="83"/>
      <c r="AH845" s="83"/>
      <c r="AI845" s="83"/>
      <c r="AJ845" s="83"/>
      <c r="AK845" s="83"/>
      <c r="AL845" s="84"/>
      <c r="AM845" s="84"/>
      <c r="AN845" s="84"/>
      <c r="AO845" s="82"/>
      <c r="AP845" s="82"/>
      <c r="AQ845" s="82"/>
      <c r="AR845" s="84"/>
      <c r="AS845" s="82"/>
      <c r="AT845" s="82"/>
      <c r="AU845" s="82"/>
    </row>
    <row r="846" spans="1:47" ht="15.75" customHeight="1">
      <c r="A846" s="82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  <c r="AD846" s="83"/>
      <c r="AE846" s="83"/>
      <c r="AF846" s="83"/>
      <c r="AG846" s="83"/>
      <c r="AH846" s="83"/>
      <c r="AI846" s="83"/>
      <c r="AJ846" s="83"/>
      <c r="AK846" s="83"/>
      <c r="AL846" s="84"/>
      <c r="AM846" s="84"/>
      <c r="AN846" s="84"/>
      <c r="AO846" s="82"/>
      <c r="AP846" s="82"/>
      <c r="AQ846" s="82"/>
      <c r="AR846" s="84"/>
      <c r="AS846" s="82"/>
      <c r="AT846" s="82"/>
      <c r="AU846" s="82"/>
    </row>
    <row r="847" spans="1:47" ht="15.75" customHeight="1">
      <c r="A847" s="82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  <c r="AD847" s="83"/>
      <c r="AE847" s="83"/>
      <c r="AF847" s="83"/>
      <c r="AG847" s="83"/>
      <c r="AH847" s="83"/>
      <c r="AI847" s="83"/>
      <c r="AJ847" s="83"/>
      <c r="AK847" s="83"/>
      <c r="AL847" s="84"/>
      <c r="AM847" s="84"/>
      <c r="AN847" s="84"/>
      <c r="AO847" s="82"/>
      <c r="AP847" s="82"/>
      <c r="AQ847" s="82"/>
      <c r="AR847" s="84"/>
      <c r="AS847" s="82"/>
      <c r="AT847" s="82"/>
      <c r="AU847" s="82"/>
    </row>
    <row r="848" spans="1:47" ht="15.75" customHeight="1">
      <c r="A848" s="82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  <c r="AD848" s="83"/>
      <c r="AE848" s="83"/>
      <c r="AF848" s="83"/>
      <c r="AG848" s="83"/>
      <c r="AH848" s="83"/>
      <c r="AI848" s="83"/>
      <c r="AJ848" s="83"/>
      <c r="AK848" s="83"/>
      <c r="AL848" s="84"/>
      <c r="AM848" s="84"/>
      <c r="AN848" s="84"/>
      <c r="AO848" s="82"/>
      <c r="AP848" s="82"/>
      <c r="AQ848" s="82"/>
      <c r="AR848" s="84"/>
      <c r="AS848" s="82"/>
      <c r="AT848" s="82"/>
      <c r="AU848" s="82"/>
    </row>
    <row r="849" spans="1:47" ht="15.75" customHeight="1">
      <c r="A849" s="82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  <c r="AD849" s="83"/>
      <c r="AE849" s="83"/>
      <c r="AF849" s="83"/>
      <c r="AG849" s="83"/>
      <c r="AH849" s="83"/>
      <c r="AI849" s="83"/>
      <c r="AJ849" s="83"/>
      <c r="AK849" s="83"/>
      <c r="AL849" s="84"/>
      <c r="AM849" s="84"/>
      <c r="AN849" s="84"/>
      <c r="AO849" s="82"/>
      <c r="AP849" s="82"/>
      <c r="AQ849" s="82"/>
      <c r="AR849" s="84"/>
      <c r="AS849" s="82"/>
      <c r="AT849" s="82"/>
      <c r="AU849" s="82"/>
    </row>
    <row r="850" spans="1:47" ht="15.75" customHeight="1">
      <c r="A850" s="82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  <c r="AD850" s="83"/>
      <c r="AE850" s="83"/>
      <c r="AF850" s="83"/>
      <c r="AG850" s="83"/>
      <c r="AH850" s="83"/>
      <c r="AI850" s="83"/>
      <c r="AJ850" s="83"/>
      <c r="AK850" s="83"/>
      <c r="AL850" s="84"/>
      <c r="AM850" s="84"/>
      <c r="AN850" s="84"/>
      <c r="AO850" s="82"/>
      <c r="AP850" s="82"/>
      <c r="AQ850" s="82"/>
      <c r="AR850" s="84"/>
      <c r="AS850" s="82"/>
      <c r="AT850" s="82"/>
      <c r="AU850" s="82"/>
    </row>
    <row r="851" spans="1:47" ht="15.75" customHeight="1">
      <c r="A851" s="82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  <c r="AD851" s="83"/>
      <c r="AE851" s="83"/>
      <c r="AF851" s="83"/>
      <c r="AG851" s="83"/>
      <c r="AH851" s="83"/>
      <c r="AI851" s="83"/>
      <c r="AJ851" s="83"/>
      <c r="AK851" s="83"/>
      <c r="AL851" s="84"/>
      <c r="AM851" s="84"/>
      <c r="AN851" s="84"/>
      <c r="AO851" s="82"/>
      <c r="AP851" s="82"/>
      <c r="AQ851" s="82"/>
      <c r="AR851" s="84"/>
      <c r="AS851" s="82"/>
      <c r="AT851" s="82"/>
      <c r="AU851" s="82"/>
    </row>
    <row r="852" spans="1:47" ht="15.75" customHeight="1">
      <c r="A852" s="82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  <c r="AD852" s="83"/>
      <c r="AE852" s="83"/>
      <c r="AF852" s="83"/>
      <c r="AG852" s="83"/>
      <c r="AH852" s="83"/>
      <c r="AI852" s="83"/>
      <c r="AJ852" s="83"/>
      <c r="AK852" s="83"/>
      <c r="AL852" s="84"/>
      <c r="AM852" s="84"/>
      <c r="AN852" s="84"/>
      <c r="AO852" s="82"/>
      <c r="AP852" s="82"/>
      <c r="AQ852" s="82"/>
      <c r="AR852" s="84"/>
      <c r="AS852" s="82"/>
      <c r="AT852" s="82"/>
      <c r="AU852" s="82"/>
    </row>
    <row r="853" spans="1:47" ht="15.75" customHeight="1">
      <c r="A853" s="82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  <c r="AD853" s="83"/>
      <c r="AE853" s="83"/>
      <c r="AF853" s="83"/>
      <c r="AG853" s="83"/>
      <c r="AH853" s="83"/>
      <c r="AI853" s="83"/>
      <c r="AJ853" s="83"/>
      <c r="AK853" s="83"/>
      <c r="AL853" s="84"/>
      <c r="AM853" s="84"/>
      <c r="AN853" s="84"/>
      <c r="AO853" s="82"/>
      <c r="AP853" s="82"/>
      <c r="AQ853" s="82"/>
      <c r="AR853" s="84"/>
      <c r="AS853" s="82"/>
      <c r="AT853" s="82"/>
      <c r="AU853" s="82"/>
    </row>
    <row r="854" spans="1:47" ht="15.75" customHeight="1">
      <c r="A854" s="82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  <c r="AD854" s="83"/>
      <c r="AE854" s="83"/>
      <c r="AF854" s="83"/>
      <c r="AG854" s="83"/>
      <c r="AH854" s="83"/>
      <c r="AI854" s="83"/>
      <c r="AJ854" s="83"/>
      <c r="AK854" s="83"/>
      <c r="AL854" s="84"/>
      <c r="AM854" s="84"/>
      <c r="AN854" s="84"/>
      <c r="AO854" s="82"/>
      <c r="AP854" s="82"/>
      <c r="AQ854" s="82"/>
      <c r="AR854" s="84"/>
      <c r="AS854" s="82"/>
      <c r="AT854" s="82"/>
      <c r="AU854" s="82"/>
    </row>
    <row r="855" spans="1:47" ht="15.75" customHeight="1">
      <c r="A855" s="82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  <c r="AD855" s="83"/>
      <c r="AE855" s="83"/>
      <c r="AF855" s="83"/>
      <c r="AG855" s="83"/>
      <c r="AH855" s="83"/>
      <c r="AI855" s="83"/>
      <c r="AJ855" s="83"/>
      <c r="AK855" s="83"/>
      <c r="AL855" s="84"/>
      <c r="AM855" s="84"/>
      <c r="AN855" s="84"/>
      <c r="AO855" s="82"/>
      <c r="AP855" s="82"/>
      <c r="AQ855" s="82"/>
      <c r="AR855" s="84"/>
      <c r="AS855" s="82"/>
      <c r="AT855" s="82"/>
      <c r="AU855" s="82"/>
    </row>
    <row r="856" spans="1:47" ht="15.75" customHeight="1">
      <c r="A856" s="82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  <c r="AD856" s="83"/>
      <c r="AE856" s="83"/>
      <c r="AF856" s="83"/>
      <c r="AG856" s="83"/>
      <c r="AH856" s="83"/>
      <c r="AI856" s="83"/>
      <c r="AJ856" s="83"/>
      <c r="AK856" s="83"/>
      <c r="AL856" s="84"/>
      <c r="AM856" s="84"/>
      <c r="AN856" s="84"/>
      <c r="AO856" s="82"/>
      <c r="AP856" s="82"/>
      <c r="AQ856" s="82"/>
      <c r="AR856" s="84"/>
      <c r="AS856" s="82"/>
      <c r="AT856" s="82"/>
      <c r="AU856" s="82"/>
    </row>
    <row r="857" spans="1:47" ht="15.75" customHeight="1">
      <c r="A857" s="82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  <c r="AD857" s="83"/>
      <c r="AE857" s="83"/>
      <c r="AF857" s="83"/>
      <c r="AG857" s="83"/>
      <c r="AH857" s="83"/>
      <c r="AI857" s="83"/>
      <c r="AJ857" s="83"/>
      <c r="AK857" s="83"/>
      <c r="AL857" s="84"/>
      <c r="AM857" s="84"/>
      <c r="AN857" s="84"/>
      <c r="AO857" s="82"/>
      <c r="AP857" s="82"/>
      <c r="AQ857" s="82"/>
      <c r="AR857" s="84"/>
      <c r="AS857" s="82"/>
      <c r="AT857" s="82"/>
      <c r="AU857" s="82"/>
    </row>
    <row r="858" spans="1:47" ht="15.75" customHeight="1">
      <c r="A858" s="82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  <c r="AD858" s="83"/>
      <c r="AE858" s="83"/>
      <c r="AF858" s="83"/>
      <c r="AG858" s="83"/>
      <c r="AH858" s="83"/>
      <c r="AI858" s="83"/>
      <c r="AJ858" s="83"/>
      <c r="AK858" s="83"/>
      <c r="AL858" s="84"/>
      <c r="AM858" s="84"/>
      <c r="AN858" s="84"/>
      <c r="AO858" s="82"/>
      <c r="AP858" s="82"/>
      <c r="AQ858" s="82"/>
      <c r="AR858" s="84"/>
      <c r="AS858" s="82"/>
      <c r="AT858" s="82"/>
      <c r="AU858" s="82"/>
    </row>
    <row r="859" spans="1:47" ht="15.75" customHeight="1">
      <c r="A859" s="82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  <c r="AD859" s="83"/>
      <c r="AE859" s="83"/>
      <c r="AF859" s="83"/>
      <c r="AG859" s="83"/>
      <c r="AH859" s="83"/>
      <c r="AI859" s="83"/>
      <c r="AJ859" s="83"/>
      <c r="AK859" s="83"/>
      <c r="AL859" s="84"/>
      <c r="AM859" s="84"/>
      <c r="AN859" s="84"/>
      <c r="AO859" s="82"/>
      <c r="AP859" s="82"/>
      <c r="AQ859" s="82"/>
      <c r="AR859" s="84"/>
      <c r="AS859" s="82"/>
      <c r="AT859" s="82"/>
      <c r="AU859" s="82"/>
    </row>
    <row r="860" spans="1:47" ht="15.75" customHeight="1">
      <c r="A860" s="82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  <c r="AD860" s="83"/>
      <c r="AE860" s="83"/>
      <c r="AF860" s="83"/>
      <c r="AG860" s="83"/>
      <c r="AH860" s="83"/>
      <c r="AI860" s="83"/>
      <c r="AJ860" s="83"/>
      <c r="AK860" s="83"/>
      <c r="AL860" s="84"/>
      <c r="AM860" s="84"/>
      <c r="AN860" s="84"/>
      <c r="AO860" s="82"/>
      <c r="AP860" s="82"/>
      <c r="AQ860" s="82"/>
      <c r="AR860" s="84"/>
      <c r="AS860" s="82"/>
      <c r="AT860" s="82"/>
      <c r="AU860" s="82"/>
    </row>
    <row r="861" spans="1:47" ht="15.75" customHeight="1">
      <c r="A861" s="82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  <c r="AD861" s="83"/>
      <c r="AE861" s="83"/>
      <c r="AF861" s="83"/>
      <c r="AG861" s="83"/>
      <c r="AH861" s="83"/>
      <c r="AI861" s="83"/>
      <c r="AJ861" s="83"/>
      <c r="AK861" s="83"/>
      <c r="AL861" s="84"/>
      <c r="AM861" s="84"/>
      <c r="AN861" s="84"/>
      <c r="AO861" s="82"/>
      <c r="AP861" s="82"/>
      <c r="AQ861" s="82"/>
      <c r="AR861" s="84"/>
      <c r="AS861" s="82"/>
      <c r="AT861" s="82"/>
      <c r="AU861" s="82"/>
    </row>
    <row r="862" spans="1:47" ht="15.75" customHeight="1">
      <c r="A862" s="82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  <c r="AD862" s="83"/>
      <c r="AE862" s="83"/>
      <c r="AF862" s="83"/>
      <c r="AG862" s="83"/>
      <c r="AH862" s="83"/>
      <c r="AI862" s="83"/>
      <c r="AJ862" s="83"/>
      <c r="AK862" s="83"/>
      <c r="AL862" s="84"/>
      <c r="AM862" s="84"/>
      <c r="AN862" s="84"/>
      <c r="AO862" s="82"/>
      <c r="AP862" s="82"/>
      <c r="AQ862" s="82"/>
      <c r="AR862" s="84"/>
      <c r="AS862" s="82"/>
      <c r="AT862" s="82"/>
      <c r="AU862" s="82"/>
    </row>
    <row r="863" spans="1:47" ht="15.75" customHeight="1">
      <c r="A863" s="82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  <c r="AD863" s="83"/>
      <c r="AE863" s="83"/>
      <c r="AF863" s="83"/>
      <c r="AG863" s="83"/>
      <c r="AH863" s="83"/>
      <c r="AI863" s="83"/>
      <c r="AJ863" s="83"/>
      <c r="AK863" s="83"/>
      <c r="AL863" s="84"/>
      <c r="AM863" s="84"/>
      <c r="AN863" s="84"/>
      <c r="AO863" s="82"/>
      <c r="AP863" s="82"/>
      <c r="AQ863" s="82"/>
      <c r="AR863" s="84"/>
      <c r="AS863" s="82"/>
      <c r="AT863" s="82"/>
      <c r="AU863" s="82"/>
    </row>
    <row r="864" spans="1:47" ht="15.75" customHeight="1">
      <c r="A864" s="82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  <c r="AD864" s="83"/>
      <c r="AE864" s="83"/>
      <c r="AF864" s="83"/>
      <c r="AG864" s="83"/>
      <c r="AH864" s="83"/>
      <c r="AI864" s="83"/>
      <c r="AJ864" s="83"/>
      <c r="AK864" s="83"/>
      <c r="AL864" s="84"/>
      <c r="AM864" s="84"/>
      <c r="AN864" s="84"/>
      <c r="AO864" s="82"/>
      <c r="AP864" s="82"/>
      <c r="AQ864" s="82"/>
      <c r="AR864" s="84"/>
      <c r="AS864" s="82"/>
      <c r="AT864" s="82"/>
      <c r="AU864" s="82"/>
    </row>
    <row r="865" spans="1:47" ht="15.75" customHeight="1">
      <c r="A865" s="82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  <c r="AD865" s="83"/>
      <c r="AE865" s="83"/>
      <c r="AF865" s="83"/>
      <c r="AG865" s="83"/>
      <c r="AH865" s="83"/>
      <c r="AI865" s="83"/>
      <c r="AJ865" s="83"/>
      <c r="AK865" s="83"/>
      <c r="AL865" s="84"/>
      <c r="AM865" s="84"/>
      <c r="AN865" s="84"/>
      <c r="AO865" s="82"/>
      <c r="AP865" s="82"/>
      <c r="AQ865" s="82"/>
      <c r="AR865" s="84"/>
      <c r="AS865" s="82"/>
      <c r="AT865" s="82"/>
      <c r="AU865" s="82"/>
    </row>
    <row r="866" spans="1:47" ht="15.75" customHeight="1">
      <c r="A866" s="82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  <c r="AD866" s="83"/>
      <c r="AE866" s="83"/>
      <c r="AF866" s="83"/>
      <c r="AG866" s="83"/>
      <c r="AH866" s="83"/>
      <c r="AI866" s="83"/>
      <c r="AJ866" s="83"/>
      <c r="AK866" s="83"/>
      <c r="AL866" s="84"/>
      <c r="AM866" s="84"/>
      <c r="AN866" s="84"/>
      <c r="AO866" s="82"/>
      <c r="AP866" s="82"/>
      <c r="AQ866" s="82"/>
      <c r="AR866" s="84"/>
      <c r="AS866" s="82"/>
      <c r="AT866" s="82"/>
      <c r="AU866" s="82"/>
    </row>
    <row r="867" spans="1:47" ht="15.75" customHeight="1">
      <c r="A867" s="82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  <c r="AD867" s="83"/>
      <c r="AE867" s="83"/>
      <c r="AF867" s="83"/>
      <c r="AG867" s="83"/>
      <c r="AH867" s="83"/>
      <c r="AI867" s="83"/>
      <c r="AJ867" s="83"/>
      <c r="AK867" s="83"/>
      <c r="AL867" s="84"/>
      <c r="AM867" s="84"/>
      <c r="AN867" s="84"/>
      <c r="AO867" s="82"/>
      <c r="AP867" s="82"/>
      <c r="AQ867" s="82"/>
      <c r="AR867" s="84"/>
      <c r="AS867" s="82"/>
      <c r="AT867" s="82"/>
      <c r="AU867" s="82"/>
    </row>
    <row r="868" spans="1:47" ht="15.75" customHeight="1">
      <c r="A868" s="82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  <c r="AD868" s="83"/>
      <c r="AE868" s="83"/>
      <c r="AF868" s="83"/>
      <c r="AG868" s="83"/>
      <c r="AH868" s="83"/>
      <c r="AI868" s="83"/>
      <c r="AJ868" s="83"/>
      <c r="AK868" s="83"/>
      <c r="AL868" s="84"/>
      <c r="AM868" s="84"/>
      <c r="AN868" s="84"/>
      <c r="AO868" s="82"/>
      <c r="AP868" s="82"/>
      <c r="AQ868" s="82"/>
      <c r="AR868" s="84"/>
      <c r="AS868" s="82"/>
      <c r="AT868" s="82"/>
      <c r="AU868" s="82"/>
    </row>
    <row r="869" spans="1:47" ht="15.75" customHeight="1">
      <c r="A869" s="82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  <c r="AD869" s="83"/>
      <c r="AE869" s="83"/>
      <c r="AF869" s="83"/>
      <c r="AG869" s="83"/>
      <c r="AH869" s="83"/>
      <c r="AI869" s="83"/>
      <c r="AJ869" s="83"/>
      <c r="AK869" s="83"/>
      <c r="AL869" s="84"/>
      <c r="AM869" s="84"/>
      <c r="AN869" s="84"/>
      <c r="AO869" s="82"/>
      <c r="AP869" s="82"/>
      <c r="AQ869" s="82"/>
      <c r="AR869" s="84"/>
      <c r="AS869" s="82"/>
      <c r="AT869" s="82"/>
      <c r="AU869" s="82"/>
    </row>
    <row r="870" spans="1:47" ht="15.75" customHeight="1">
      <c r="A870" s="82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  <c r="AD870" s="83"/>
      <c r="AE870" s="83"/>
      <c r="AF870" s="83"/>
      <c r="AG870" s="83"/>
      <c r="AH870" s="83"/>
      <c r="AI870" s="83"/>
      <c r="AJ870" s="83"/>
      <c r="AK870" s="83"/>
      <c r="AL870" s="84"/>
      <c r="AM870" s="84"/>
      <c r="AN870" s="84"/>
      <c r="AO870" s="82"/>
      <c r="AP870" s="82"/>
      <c r="AQ870" s="82"/>
      <c r="AR870" s="84"/>
      <c r="AS870" s="82"/>
      <c r="AT870" s="82"/>
      <c r="AU870" s="82"/>
    </row>
    <row r="871" spans="1:47" ht="15.75" customHeight="1">
      <c r="A871" s="82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  <c r="AD871" s="83"/>
      <c r="AE871" s="83"/>
      <c r="AF871" s="83"/>
      <c r="AG871" s="83"/>
      <c r="AH871" s="83"/>
      <c r="AI871" s="83"/>
      <c r="AJ871" s="83"/>
      <c r="AK871" s="83"/>
      <c r="AL871" s="84"/>
      <c r="AM871" s="84"/>
      <c r="AN871" s="84"/>
      <c r="AO871" s="82"/>
      <c r="AP871" s="82"/>
      <c r="AQ871" s="82"/>
      <c r="AR871" s="84"/>
      <c r="AS871" s="82"/>
      <c r="AT871" s="82"/>
      <c r="AU871" s="82"/>
    </row>
    <row r="872" spans="1:47" ht="15.75" customHeight="1">
      <c r="A872" s="82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  <c r="AD872" s="83"/>
      <c r="AE872" s="83"/>
      <c r="AF872" s="83"/>
      <c r="AG872" s="83"/>
      <c r="AH872" s="83"/>
      <c r="AI872" s="83"/>
      <c r="AJ872" s="83"/>
      <c r="AK872" s="83"/>
      <c r="AL872" s="84"/>
      <c r="AM872" s="84"/>
      <c r="AN872" s="84"/>
      <c r="AO872" s="82"/>
      <c r="AP872" s="82"/>
      <c r="AQ872" s="82"/>
      <c r="AR872" s="84"/>
      <c r="AS872" s="82"/>
      <c r="AT872" s="82"/>
      <c r="AU872" s="82"/>
    </row>
    <row r="873" spans="1:47" ht="15.75" customHeight="1">
      <c r="A873" s="82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  <c r="AD873" s="83"/>
      <c r="AE873" s="83"/>
      <c r="AF873" s="83"/>
      <c r="AG873" s="83"/>
      <c r="AH873" s="83"/>
      <c r="AI873" s="83"/>
      <c r="AJ873" s="83"/>
      <c r="AK873" s="83"/>
      <c r="AL873" s="84"/>
      <c r="AM873" s="84"/>
      <c r="AN873" s="84"/>
      <c r="AO873" s="82"/>
      <c r="AP873" s="82"/>
      <c r="AQ873" s="82"/>
      <c r="AR873" s="84"/>
      <c r="AS873" s="82"/>
      <c r="AT873" s="82"/>
      <c r="AU873" s="82"/>
    </row>
    <row r="874" spans="1:47" ht="15.75" customHeight="1">
      <c r="A874" s="82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  <c r="AD874" s="83"/>
      <c r="AE874" s="83"/>
      <c r="AF874" s="83"/>
      <c r="AG874" s="83"/>
      <c r="AH874" s="83"/>
      <c r="AI874" s="83"/>
      <c r="AJ874" s="83"/>
      <c r="AK874" s="83"/>
      <c r="AL874" s="84"/>
      <c r="AM874" s="84"/>
      <c r="AN874" s="84"/>
      <c r="AO874" s="82"/>
      <c r="AP874" s="82"/>
      <c r="AQ874" s="82"/>
      <c r="AR874" s="84"/>
      <c r="AS874" s="82"/>
      <c r="AT874" s="82"/>
      <c r="AU874" s="82"/>
    </row>
    <row r="875" spans="1:47" ht="15.75" customHeight="1">
      <c r="A875" s="82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  <c r="AD875" s="83"/>
      <c r="AE875" s="83"/>
      <c r="AF875" s="83"/>
      <c r="AG875" s="83"/>
      <c r="AH875" s="83"/>
      <c r="AI875" s="83"/>
      <c r="AJ875" s="83"/>
      <c r="AK875" s="83"/>
      <c r="AL875" s="84"/>
      <c r="AM875" s="84"/>
      <c r="AN875" s="84"/>
      <c r="AO875" s="82"/>
      <c r="AP875" s="82"/>
      <c r="AQ875" s="82"/>
      <c r="AR875" s="84"/>
      <c r="AS875" s="82"/>
      <c r="AT875" s="82"/>
      <c r="AU875" s="82"/>
    </row>
    <row r="876" spans="1:47" ht="15.75" customHeight="1">
      <c r="A876" s="82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  <c r="AD876" s="83"/>
      <c r="AE876" s="83"/>
      <c r="AF876" s="83"/>
      <c r="AG876" s="83"/>
      <c r="AH876" s="83"/>
      <c r="AI876" s="83"/>
      <c r="AJ876" s="83"/>
      <c r="AK876" s="83"/>
      <c r="AL876" s="84"/>
      <c r="AM876" s="84"/>
      <c r="AN876" s="84"/>
      <c r="AO876" s="82"/>
      <c r="AP876" s="82"/>
      <c r="AQ876" s="82"/>
      <c r="AR876" s="84"/>
      <c r="AS876" s="82"/>
      <c r="AT876" s="82"/>
      <c r="AU876" s="82"/>
    </row>
    <row r="877" spans="1:47" ht="15.75" customHeight="1">
      <c r="A877" s="82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  <c r="AD877" s="83"/>
      <c r="AE877" s="83"/>
      <c r="AF877" s="83"/>
      <c r="AG877" s="83"/>
      <c r="AH877" s="83"/>
      <c r="AI877" s="83"/>
      <c r="AJ877" s="83"/>
      <c r="AK877" s="83"/>
      <c r="AL877" s="84"/>
      <c r="AM877" s="84"/>
      <c r="AN877" s="84"/>
      <c r="AO877" s="82"/>
      <c r="AP877" s="82"/>
      <c r="AQ877" s="82"/>
      <c r="AR877" s="84"/>
      <c r="AS877" s="82"/>
      <c r="AT877" s="82"/>
      <c r="AU877" s="82"/>
    </row>
    <row r="878" spans="1:47" ht="15.75" customHeight="1">
      <c r="A878" s="82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  <c r="AD878" s="83"/>
      <c r="AE878" s="83"/>
      <c r="AF878" s="83"/>
      <c r="AG878" s="83"/>
      <c r="AH878" s="83"/>
      <c r="AI878" s="83"/>
      <c r="AJ878" s="83"/>
      <c r="AK878" s="83"/>
      <c r="AL878" s="84"/>
      <c r="AM878" s="84"/>
      <c r="AN878" s="84"/>
      <c r="AO878" s="82"/>
      <c r="AP878" s="82"/>
      <c r="AQ878" s="82"/>
      <c r="AR878" s="84"/>
      <c r="AS878" s="82"/>
      <c r="AT878" s="82"/>
      <c r="AU878" s="82"/>
    </row>
    <row r="879" spans="1:47" ht="15.75" customHeight="1">
      <c r="A879" s="82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  <c r="AD879" s="83"/>
      <c r="AE879" s="83"/>
      <c r="AF879" s="83"/>
      <c r="AG879" s="83"/>
      <c r="AH879" s="83"/>
      <c r="AI879" s="83"/>
      <c r="AJ879" s="83"/>
      <c r="AK879" s="83"/>
      <c r="AL879" s="84"/>
      <c r="AM879" s="84"/>
      <c r="AN879" s="84"/>
      <c r="AO879" s="82"/>
      <c r="AP879" s="82"/>
      <c r="AQ879" s="82"/>
      <c r="AR879" s="84"/>
      <c r="AS879" s="82"/>
      <c r="AT879" s="82"/>
      <c r="AU879" s="82"/>
    </row>
    <row r="880" spans="1:47" ht="15.75" customHeight="1">
      <c r="A880" s="82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  <c r="AD880" s="83"/>
      <c r="AE880" s="83"/>
      <c r="AF880" s="83"/>
      <c r="AG880" s="83"/>
      <c r="AH880" s="83"/>
      <c r="AI880" s="83"/>
      <c r="AJ880" s="83"/>
      <c r="AK880" s="83"/>
      <c r="AL880" s="84"/>
      <c r="AM880" s="84"/>
      <c r="AN880" s="84"/>
      <c r="AO880" s="82"/>
      <c r="AP880" s="82"/>
      <c r="AQ880" s="82"/>
      <c r="AR880" s="84"/>
      <c r="AS880" s="82"/>
      <c r="AT880" s="82"/>
      <c r="AU880" s="82"/>
    </row>
    <row r="881" spans="1:47" ht="15.75" customHeight="1">
      <c r="A881" s="82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  <c r="AD881" s="83"/>
      <c r="AE881" s="83"/>
      <c r="AF881" s="83"/>
      <c r="AG881" s="83"/>
      <c r="AH881" s="83"/>
      <c r="AI881" s="83"/>
      <c r="AJ881" s="83"/>
      <c r="AK881" s="83"/>
      <c r="AL881" s="84"/>
      <c r="AM881" s="84"/>
      <c r="AN881" s="84"/>
      <c r="AO881" s="82"/>
      <c r="AP881" s="82"/>
      <c r="AQ881" s="82"/>
      <c r="AR881" s="84"/>
      <c r="AS881" s="82"/>
      <c r="AT881" s="82"/>
      <c r="AU881" s="82"/>
    </row>
    <row r="882" spans="1:47" ht="15.75" customHeight="1">
      <c r="A882" s="82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  <c r="AD882" s="83"/>
      <c r="AE882" s="83"/>
      <c r="AF882" s="83"/>
      <c r="AG882" s="83"/>
      <c r="AH882" s="83"/>
      <c r="AI882" s="83"/>
      <c r="AJ882" s="83"/>
      <c r="AK882" s="83"/>
      <c r="AL882" s="84"/>
      <c r="AM882" s="84"/>
      <c r="AN882" s="84"/>
      <c r="AO882" s="82"/>
      <c r="AP882" s="82"/>
      <c r="AQ882" s="82"/>
      <c r="AR882" s="84"/>
      <c r="AS882" s="82"/>
      <c r="AT882" s="82"/>
      <c r="AU882" s="82"/>
    </row>
    <row r="883" spans="1:47" ht="15.75" customHeight="1">
      <c r="A883" s="82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  <c r="AD883" s="83"/>
      <c r="AE883" s="83"/>
      <c r="AF883" s="83"/>
      <c r="AG883" s="83"/>
      <c r="AH883" s="83"/>
      <c r="AI883" s="83"/>
      <c r="AJ883" s="83"/>
      <c r="AK883" s="83"/>
      <c r="AL883" s="84"/>
      <c r="AM883" s="84"/>
      <c r="AN883" s="84"/>
      <c r="AO883" s="82"/>
      <c r="AP883" s="82"/>
      <c r="AQ883" s="82"/>
      <c r="AR883" s="84"/>
      <c r="AS883" s="82"/>
      <c r="AT883" s="82"/>
      <c r="AU883" s="82"/>
    </row>
    <row r="884" spans="1:47" ht="15.75" customHeight="1">
      <c r="A884" s="82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  <c r="AD884" s="83"/>
      <c r="AE884" s="83"/>
      <c r="AF884" s="83"/>
      <c r="AG884" s="83"/>
      <c r="AH884" s="83"/>
      <c r="AI884" s="83"/>
      <c r="AJ884" s="83"/>
      <c r="AK884" s="83"/>
      <c r="AL884" s="84"/>
      <c r="AM884" s="84"/>
      <c r="AN884" s="84"/>
      <c r="AO884" s="82"/>
      <c r="AP884" s="82"/>
      <c r="AQ884" s="82"/>
      <c r="AR884" s="84"/>
      <c r="AS884" s="82"/>
      <c r="AT884" s="82"/>
      <c r="AU884" s="82"/>
    </row>
    <row r="885" spans="1:47" ht="15.75" customHeight="1">
      <c r="A885" s="82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  <c r="AD885" s="83"/>
      <c r="AE885" s="83"/>
      <c r="AF885" s="83"/>
      <c r="AG885" s="83"/>
      <c r="AH885" s="83"/>
      <c r="AI885" s="83"/>
      <c r="AJ885" s="83"/>
      <c r="AK885" s="83"/>
      <c r="AL885" s="84"/>
      <c r="AM885" s="84"/>
      <c r="AN885" s="84"/>
      <c r="AO885" s="82"/>
      <c r="AP885" s="82"/>
      <c r="AQ885" s="82"/>
      <c r="AR885" s="84"/>
      <c r="AS885" s="82"/>
      <c r="AT885" s="82"/>
      <c r="AU885" s="82"/>
    </row>
    <row r="886" spans="1:47" ht="15.75" customHeight="1">
      <c r="A886" s="82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  <c r="AD886" s="83"/>
      <c r="AE886" s="83"/>
      <c r="AF886" s="83"/>
      <c r="AG886" s="83"/>
      <c r="AH886" s="83"/>
      <c r="AI886" s="83"/>
      <c r="AJ886" s="83"/>
      <c r="AK886" s="83"/>
      <c r="AL886" s="84"/>
      <c r="AM886" s="84"/>
      <c r="AN886" s="84"/>
      <c r="AO886" s="82"/>
      <c r="AP886" s="82"/>
      <c r="AQ886" s="82"/>
      <c r="AR886" s="84"/>
      <c r="AS886" s="82"/>
      <c r="AT886" s="82"/>
      <c r="AU886" s="82"/>
    </row>
    <row r="887" spans="1:47" ht="15.75" customHeight="1">
      <c r="A887" s="82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  <c r="AD887" s="83"/>
      <c r="AE887" s="83"/>
      <c r="AF887" s="83"/>
      <c r="AG887" s="83"/>
      <c r="AH887" s="83"/>
      <c r="AI887" s="83"/>
      <c r="AJ887" s="83"/>
      <c r="AK887" s="83"/>
      <c r="AL887" s="84"/>
      <c r="AM887" s="84"/>
      <c r="AN887" s="84"/>
      <c r="AO887" s="82"/>
      <c r="AP887" s="82"/>
      <c r="AQ887" s="82"/>
      <c r="AR887" s="84"/>
      <c r="AS887" s="82"/>
      <c r="AT887" s="82"/>
      <c r="AU887" s="82"/>
    </row>
    <row r="888" spans="1:47" ht="15.75" customHeight="1">
      <c r="A888" s="82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  <c r="AD888" s="83"/>
      <c r="AE888" s="83"/>
      <c r="AF888" s="83"/>
      <c r="AG888" s="83"/>
      <c r="AH888" s="83"/>
      <c r="AI888" s="83"/>
      <c r="AJ888" s="83"/>
      <c r="AK888" s="83"/>
      <c r="AL888" s="84"/>
      <c r="AM888" s="84"/>
      <c r="AN888" s="84"/>
      <c r="AO888" s="82"/>
      <c r="AP888" s="82"/>
      <c r="AQ888" s="82"/>
      <c r="AR888" s="84"/>
      <c r="AS888" s="82"/>
      <c r="AT888" s="82"/>
      <c r="AU888" s="82"/>
    </row>
    <row r="889" spans="1:47" ht="15.75" customHeight="1">
      <c r="A889" s="82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  <c r="AD889" s="83"/>
      <c r="AE889" s="83"/>
      <c r="AF889" s="83"/>
      <c r="AG889" s="83"/>
      <c r="AH889" s="83"/>
      <c r="AI889" s="83"/>
      <c r="AJ889" s="83"/>
      <c r="AK889" s="83"/>
      <c r="AL889" s="84"/>
      <c r="AM889" s="84"/>
      <c r="AN889" s="84"/>
      <c r="AO889" s="82"/>
      <c r="AP889" s="82"/>
      <c r="AQ889" s="82"/>
      <c r="AR889" s="84"/>
      <c r="AS889" s="82"/>
      <c r="AT889" s="82"/>
      <c r="AU889" s="82"/>
    </row>
    <row r="890" spans="1:47" ht="15.75" customHeight="1">
      <c r="A890" s="82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  <c r="AD890" s="83"/>
      <c r="AE890" s="83"/>
      <c r="AF890" s="83"/>
      <c r="AG890" s="83"/>
      <c r="AH890" s="83"/>
      <c r="AI890" s="83"/>
      <c r="AJ890" s="83"/>
      <c r="AK890" s="83"/>
      <c r="AL890" s="84"/>
      <c r="AM890" s="84"/>
      <c r="AN890" s="84"/>
      <c r="AO890" s="82"/>
      <c r="AP890" s="82"/>
      <c r="AQ890" s="82"/>
      <c r="AR890" s="84"/>
      <c r="AS890" s="82"/>
      <c r="AT890" s="82"/>
      <c r="AU890" s="82"/>
    </row>
    <row r="891" spans="1:47" ht="15.75" customHeight="1">
      <c r="A891" s="82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  <c r="AD891" s="83"/>
      <c r="AE891" s="83"/>
      <c r="AF891" s="83"/>
      <c r="AG891" s="83"/>
      <c r="AH891" s="83"/>
      <c r="AI891" s="83"/>
      <c r="AJ891" s="83"/>
      <c r="AK891" s="83"/>
      <c r="AL891" s="84"/>
      <c r="AM891" s="84"/>
      <c r="AN891" s="84"/>
      <c r="AO891" s="82"/>
      <c r="AP891" s="82"/>
      <c r="AQ891" s="82"/>
      <c r="AR891" s="84"/>
      <c r="AS891" s="82"/>
      <c r="AT891" s="82"/>
      <c r="AU891" s="82"/>
    </row>
    <row r="892" spans="1:47" ht="15.75" customHeight="1">
      <c r="A892" s="82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  <c r="AD892" s="83"/>
      <c r="AE892" s="83"/>
      <c r="AF892" s="83"/>
      <c r="AG892" s="83"/>
      <c r="AH892" s="83"/>
      <c r="AI892" s="83"/>
      <c r="AJ892" s="83"/>
      <c r="AK892" s="83"/>
      <c r="AL892" s="84"/>
      <c r="AM892" s="84"/>
      <c r="AN892" s="84"/>
      <c r="AO892" s="82"/>
      <c r="AP892" s="82"/>
      <c r="AQ892" s="82"/>
      <c r="AR892" s="84"/>
      <c r="AS892" s="82"/>
      <c r="AT892" s="82"/>
      <c r="AU892" s="82"/>
    </row>
    <row r="893" spans="1:47" ht="15.75" customHeight="1">
      <c r="A893" s="82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  <c r="AD893" s="83"/>
      <c r="AE893" s="83"/>
      <c r="AF893" s="83"/>
      <c r="AG893" s="83"/>
      <c r="AH893" s="83"/>
      <c r="AI893" s="83"/>
      <c r="AJ893" s="83"/>
      <c r="AK893" s="83"/>
      <c r="AL893" s="84"/>
      <c r="AM893" s="84"/>
      <c r="AN893" s="84"/>
      <c r="AO893" s="82"/>
      <c r="AP893" s="82"/>
      <c r="AQ893" s="82"/>
      <c r="AR893" s="84"/>
      <c r="AS893" s="82"/>
      <c r="AT893" s="82"/>
      <c r="AU893" s="82"/>
    </row>
    <row r="894" spans="1:47" ht="15.75" customHeight="1">
      <c r="A894" s="82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  <c r="AD894" s="83"/>
      <c r="AE894" s="83"/>
      <c r="AF894" s="83"/>
      <c r="AG894" s="83"/>
      <c r="AH894" s="83"/>
      <c r="AI894" s="83"/>
      <c r="AJ894" s="83"/>
      <c r="AK894" s="83"/>
      <c r="AL894" s="84"/>
      <c r="AM894" s="84"/>
      <c r="AN894" s="84"/>
      <c r="AO894" s="82"/>
      <c r="AP894" s="82"/>
      <c r="AQ894" s="82"/>
      <c r="AR894" s="84"/>
      <c r="AS894" s="82"/>
      <c r="AT894" s="82"/>
      <c r="AU894" s="82"/>
    </row>
    <row r="895" spans="1:47" ht="15.75" customHeight="1">
      <c r="A895" s="82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  <c r="AD895" s="83"/>
      <c r="AE895" s="83"/>
      <c r="AF895" s="83"/>
      <c r="AG895" s="83"/>
      <c r="AH895" s="83"/>
      <c r="AI895" s="83"/>
      <c r="AJ895" s="83"/>
      <c r="AK895" s="83"/>
      <c r="AL895" s="84"/>
      <c r="AM895" s="84"/>
      <c r="AN895" s="84"/>
      <c r="AO895" s="82"/>
      <c r="AP895" s="82"/>
      <c r="AQ895" s="82"/>
      <c r="AR895" s="84"/>
      <c r="AS895" s="82"/>
      <c r="AT895" s="82"/>
      <c r="AU895" s="82"/>
    </row>
    <row r="896" spans="1:47" ht="15.75" customHeight="1">
      <c r="A896" s="82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  <c r="AD896" s="83"/>
      <c r="AE896" s="83"/>
      <c r="AF896" s="83"/>
      <c r="AG896" s="83"/>
      <c r="AH896" s="83"/>
      <c r="AI896" s="83"/>
      <c r="AJ896" s="83"/>
      <c r="AK896" s="83"/>
      <c r="AL896" s="84"/>
      <c r="AM896" s="84"/>
      <c r="AN896" s="84"/>
      <c r="AO896" s="82"/>
      <c r="AP896" s="82"/>
      <c r="AQ896" s="82"/>
      <c r="AR896" s="84"/>
      <c r="AS896" s="82"/>
      <c r="AT896" s="82"/>
      <c r="AU896" s="82"/>
    </row>
    <row r="897" spans="1:47" ht="15.75" customHeight="1">
      <c r="A897" s="82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  <c r="AD897" s="83"/>
      <c r="AE897" s="83"/>
      <c r="AF897" s="83"/>
      <c r="AG897" s="83"/>
      <c r="AH897" s="83"/>
      <c r="AI897" s="83"/>
      <c r="AJ897" s="83"/>
      <c r="AK897" s="83"/>
      <c r="AL897" s="84"/>
      <c r="AM897" s="84"/>
      <c r="AN897" s="84"/>
      <c r="AO897" s="82"/>
      <c r="AP897" s="82"/>
      <c r="AQ897" s="82"/>
      <c r="AR897" s="84"/>
      <c r="AS897" s="82"/>
      <c r="AT897" s="82"/>
      <c r="AU897" s="82"/>
    </row>
    <row r="898" spans="1:47" ht="15.75" customHeight="1">
      <c r="A898" s="82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  <c r="AD898" s="83"/>
      <c r="AE898" s="83"/>
      <c r="AF898" s="83"/>
      <c r="AG898" s="83"/>
      <c r="AH898" s="83"/>
      <c r="AI898" s="83"/>
      <c r="AJ898" s="83"/>
      <c r="AK898" s="83"/>
      <c r="AL898" s="84"/>
      <c r="AM898" s="84"/>
      <c r="AN898" s="84"/>
      <c r="AO898" s="82"/>
      <c r="AP898" s="82"/>
      <c r="AQ898" s="82"/>
      <c r="AR898" s="84"/>
      <c r="AS898" s="82"/>
      <c r="AT898" s="82"/>
      <c r="AU898" s="82"/>
    </row>
    <row r="899" spans="1:47" ht="15.75" customHeight="1">
      <c r="A899" s="82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  <c r="AD899" s="83"/>
      <c r="AE899" s="83"/>
      <c r="AF899" s="83"/>
      <c r="AG899" s="83"/>
      <c r="AH899" s="83"/>
      <c r="AI899" s="83"/>
      <c r="AJ899" s="83"/>
      <c r="AK899" s="83"/>
      <c r="AL899" s="84"/>
      <c r="AM899" s="84"/>
      <c r="AN899" s="84"/>
      <c r="AO899" s="82"/>
      <c r="AP899" s="82"/>
      <c r="AQ899" s="82"/>
      <c r="AR899" s="84"/>
      <c r="AS899" s="82"/>
      <c r="AT899" s="82"/>
      <c r="AU899" s="82"/>
    </row>
    <row r="900" spans="1:47" ht="15.75" customHeight="1">
      <c r="A900" s="82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  <c r="AD900" s="83"/>
      <c r="AE900" s="83"/>
      <c r="AF900" s="83"/>
      <c r="AG900" s="83"/>
      <c r="AH900" s="83"/>
      <c r="AI900" s="83"/>
      <c r="AJ900" s="83"/>
      <c r="AK900" s="83"/>
      <c r="AL900" s="84"/>
      <c r="AM900" s="84"/>
      <c r="AN900" s="84"/>
      <c r="AO900" s="82"/>
      <c r="AP900" s="82"/>
      <c r="AQ900" s="82"/>
      <c r="AR900" s="84"/>
      <c r="AS900" s="82"/>
      <c r="AT900" s="82"/>
      <c r="AU900" s="82"/>
    </row>
    <row r="901" spans="1:47" ht="15.75" customHeight="1">
      <c r="A901" s="82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  <c r="AD901" s="83"/>
      <c r="AE901" s="83"/>
      <c r="AF901" s="83"/>
      <c r="AG901" s="83"/>
      <c r="AH901" s="83"/>
      <c r="AI901" s="83"/>
      <c r="AJ901" s="83"/>
      <c r="AK901" s="83"/>
      <c r="AL901" s="84"/>
      <c r="AM901" s="84"/>
      <c r="AN901" s="84"/>
      <c r="AO901" s="82"/>
      <c r="AP901" s="82"/>
      <c r="AQ901" s="82"/>
      <c r="AR901" s="84"/>
      <c r="AS901" s="82"/>
      <c r="AT901" s="82"/>
      <c r="AU901" s="82"/>
    </row>
    <row r="902" spans="1:47" ht="15.75" customHeight="1">
      <c r="A902" s="82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  <c r="AD902" s="83"/>
      <c r="AE902" s="83"/>
      <c r="AF902" s="83"/>
      <c r="AG902" s="83"/>
      <c r="AH902" s="83"/>
      <c r="AI902" s="83"/>
      <c r="AJ902" s="83"/>
      <c r="AK902" s="83"/>
      <c r="AL902" s="84"/>
      <c r="AM902" s="84"/>
      <c r="AN902" s="84"/>
      <c r="AO902" s="82"/>
      <c r="AP902" s="82"/>
      <c r="AQ902" s="82"/>
      <c r="AR902" s="84"/>
      <c r="AS902" s="82"/>
      <c r="AT902" s="82"/>
      <c r="AU902" s="82"/>
    </row>
    <row r="903" spans="1:47" ht="15.75" customHeight="1">
      <c r="A903" s="82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  <c r="AD903" s="83"/>
      <c r="AE903" s="83"/>
      <c r="AF903" s="83"/>
      <c r="AG903" s="83"/>
      <c r="AH903" s="83"/>
      <c r="AI903" s="83"/>
      <c r="AJ903" s="83"/>
      <c r="AK903" s="83"/>
      <c r="AL903" s="84"/>
      <c r="AM903" s="84"/>
      <c r="AN903" s="84"/>
      <c r="AO903" s="82"/>
      <c r="AP903" s="82"/>
      <c r="AQ903" s="82"/>
      <c r="AR903" s="84"/>
      <c r="AS903" s="82"/>
      <c r="AT903" s="82"/>
      <c r="AU903" s="82"/>
    </row>
    <row r="904" spans="1:47" ht="15.75" customHeight="1">
      <c r="A904" s="82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  <c r="AD904" s="83"/>
      <c r="AE904" s="83"/>
      <c r="AF904" s="83"/>
      <c r="AG904" s="83"/>
      <c r="AH904" s="83"/>
      <c r="AI904" s="83"/>
      <c r="AJ904" s="83"/>
      <c r="AK904" s="83"/>
      <c r="AL904" s="84"/>
      <c r="AM904" s="84"/>
      <c r="AN904" s="84"/>
      <c r="AO904" s="82"/>
      <c r="AP904" s="82"/>
      <c r="AQ904" s="82"/>
      <c r="AR904" s="84"/>
      <c r="AS904" s="82"/>
      <c r="AT904" s="82"/>
      <c r="AU904" s="82"/>
    </row>
    <row r="905" spans="1:47" ht="15.75" customHeight="1">
      <c r="A905" s="82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  <c r="AD905" s="83"/>
      <c r="AE905" s="83"/>
      <c r="AF905" s="83"/>
      <c r="AG905" s="83"/>
      <c r="AH905" s="83"/>
      <c r="AI905" s="83"/>
      <c r="AJ905" s="83"/>
      <c r="AK905" s="83"/>
      <c r="AL905" s="84"/>
      <c r="AM905" s="84"/>
      <c r="AN905" s="84"/>
      <c r="AO905" s="82"/>
      <c r="AP905" s="82"/>
      <c r="AQ905" s="82"/>
      <c r="AR905" s="84"/>
      <c r="AS905" s="82"/>
      <c r="AT905" s="82"/>
      <c r="AU905" s="82"/>
    </row>
    <row r="906" spans="1:47" ht="15.75" customHeight="1">
      <c r="A906" s="82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  <c r="AD906" s="83"/>
      <c r="AE906" s="83"/>
      <c r="AF906" s="83"/>
      <c r="AG906" s="83"/>
      <c r="AH906" s="83"/>
      <c r="AI906" s="83"/>
      <c r="AJ906" s="83"/>
      <c r="AK906" s="83"/>
      <c r="AL906" s="84"/>
      <c r="AM906" s="84"/>
      <c r="AN906" s="84"/>
      <c r="AO906" s="82"/>
      <c r="AP906" s="82"/>
      <c r="AQ906" s="82"/>
      <c r="AR906" s="84"/>
      <c r="AS906" s="82"/>
      <c r="AT906" s="82"/>
      <c r="AU906" s="82"/>
    </row>
    <row r="907" spans="1:47" ht="15.75" customHeight="1">
      <c r="A907" s="82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  <c r="AD907" s="83"/>
      <c r="AE907" s="83"/>
      <c r="AF907" s="83"/>
      <c r="AG907" s="83"/>
      <c r="AH907" s="83"/>
      <c r="AI907" s="83"/>
      <c r="AJ907" s="83"/>
      <c r="AK907" s="83"/>
      <c r="AL907" s="84"/>
      <c r="AM907" s="84"/>
      <c r="AN907" s="84"/>
      <c r="AO907" s="82"/>
      <c r="AP907" s="82"/>
      <c r="AQ907" s="82"/>
      <c r="AR907" s="84"/>
      <c r="AS907" s="82"/>
      <c r="AT907" s="82"/>
      <c r="AU907" s="82"/>
    </row>
    <row r="908" spans="1:47" ht="15.75" customHeight="1">
      <c r="A908" s="82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  <c r="AD908" s="83"/>
      <c r="AE908" s="83"/>
      <c r="AF908" s="83"/>
      <c r="AG908" s="83"/>
      <c r="AH908" s="83"/>
      <c r="AI908" s="83"/>
      <c r="AJ908" s="83"/>
      <c r="AK908" s="83"/>
      <c r="AL908" s="84"/>
      <c r="AM908" s="84"/>
      <c r="AN908" s="84"/>
      <c r="AO908" s="82"/>
      <c r="AP908" s="82"/>
      <c r="AQ908" s="82"/>
      <c r="AR908" s="84"/>
      <c r="AS908" s="82"/>
      <c r="AT908" s="82"/>
      <c r="AU908" s="82"/>
    </row>
    <row r="909" spans="1:47" ht="15.75" customHeight="1">
      <c r="A909" s="82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  <c r="AD909" s="83"/>
      <c r="AE909" s="83"/>
      <c r="AF909" s="83"/>
      <c r="AG909" s="83"/>
      <c r="AH909" s="83"/>
      <c r="AI909" s="83"/>
      <c r="AJ909" s="83"/>
      <c r="AK909" s="83"/>
      <c r="AL909" s="84"/>
      <c r="AM909" s="84"/>
      <c r="AN909" s="84"/>
      <c r="AO909" s="82"/>
      <c r="AP909" s="82"/>
      <c r="AQ909" s="82"/>
      <c r="AR909" s="84"/>
      <c r="AS909" s="82"/>
      <c r="AT909" s="82"/>
      <c r="AU909" s="82"/>
    </row>
    <row r="910" spans="1:47" ht="15.75" customHeight="1">
      <c r="A910" s="82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  <c r="AD910" s="83"/>
      <c r="AE910" s="83"/>
      <c r="AF910" s="83"/>
      <c r="AG910" s="83"/>
      <c r="AH910" s="83"/>
      <c r="AI910" s="83"/>
      <c r="AJ910" s="83"/>
      <c r="AK910" s="83"/>
      <c r="AL910" s="84"/>
      <c r="AM910" s="84"/>
      <c r="AN910" s="84"/>
      <c r="AO910" s="82"/>
      <c r="AP910" s="82"/>
      <c r="AQ910" s="82"/>
      <c r="AR910" s="84"/>
      <c r="AS910" s="82"/>
      <c r="AT910" s="82"/>
      <c r="AU910" s="82"/>
    </row>
    <row r="911" spans="1:47" ht="15.75" customHeight="1">
      <c r="A911" s="82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  <c r="AD911" s="83"/>
      <c r="AE911" s="83"/>
      <c r="AF911" s="83"/>
      <c r="AG911" s="83"/>
      <c r="AH911" s="83"/>
      <c r="AI911" s="83"/>
      <c r="AJ911" s="83"/>
      <c r="AK911" s="83"/>
      <c r="AL911" s="84"/>
      <c r="AM911" s="84"/>
      <c r="AN911" s="84"/>
      <c r="AO911" s="82"/>
      <c r="AP911" s="82"/>
      <c r="AQ911" s="82"/>
      <c r="AR911" s="84"/>
      <c r="AS911" s="82"/>
      <c r="AT911" s="82"/>
      <c r="AU911" s="82"/>
    </row>
    <row r="912" spans="1:47" ht="15.75" customHeight="1">
      <c r="A912" s="82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  <c r="AD912" s="83"/>
      <c r="AE912" s="83"/>
      <c r="AF912" s="83"/>
      <c r="AG912" s="83"/>
      <c r="AH912" s="83"/>
      <c r="AI912" s="83"/>
      <c r="AJ912" s="83"/>
      <c r="AK912" s="83"/>
      <c r="AL912" s="84"/>
      <c r="AM912" s="84"/>
      <c r="AN912" s="84"/>
      <c r="AO912" s="82"/>
      <c r="AP912" s="82"/>
      <c r="AQ912" s="82"/>
      <c r="AR912" s="84"/>
      <c r="AS912" s="82"/>
      <c r="AT912" s="82"/>
      <c r="AU912" s="82"/>
    </row>
    <row r="913" spans="1:47" ht="15.75" customHeight="1">
      <c r="A913" s="82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  <c r="AD913" s="83"/>
      <c r="AE913" s="83"/>
      <c r="AF913" s="83"/>
      <c r="AG913" s="83"/>
      <c r="AH913" s="83"/>
      <c r="AI913" s="83"/>
      <c r="AJ913" s="83"/>
      <c r="AK913" s="83"/>
      <c r="AL913" s="84"/>
      <c r="AM913" s="84"/>
      <c r="AN913" s="84"/>
      <c r="AO913" s="82"/>
      <c r="AP913" s="82"/>
      <c r="AQ913" s="82"/>
      <c r="AR913" s="84"/>
      <c r="AS913" s="82"/>
      <c r="AT913" s="82"/>
      <c r="AU913" s="82"/>
    </row>
    <row r="914" spans="1:47" ht="15.75" customHeight="1">
      <c r="A914" s="82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  <c r="AD914" s="83"/>
      <c r="AE914" s="83"/>
      <c r="AF914" s="83"/>
      <c r="AG914" s="83"/>
      <c r="AH914" s="83"/>
      <c r="AI914" s="83"/>
      <c r="AJ914" s="83"/>
      <c r="AK914" s="83"/>
      <c r="AL914" s="84"/>
      <c r="AM914" s="84"/>
      <c r="AN914" s="84"/>
      <c r="AO914" s="82"/>
      <c r="AP914" s="82"/>
      <c r="AQ914" s="82"/>
      <c r="AR914" s="84"/>
      <c r="AS914" s="82"/>
      <c r="AT914" s="82"/>
      <c r="AU914" s="82"/>
    </row>
    <row r="915" spans="1:47" ht="15.75" customHeight="1">
      <c r="A915" s="82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  <c r="AD915" s="83"/>
      <c r="AE915" s="83"/>
      <c r="AF915" s="83"/>
      <c r="AG915" s="83"/>
      <c r="AH915" s="83"/>
      <c r="AI915" s="83"/>
      <c r="AJ915" s="83"/>
      <c r="AK915" s="83"/>
      <c r="AL915" s="84"/>
      <c r="AM915" s="84"/>
      <c r="AN915" s="84"/>
      <c r="AO915" s="82"/>
      <c r="AP915" s="82"/>
      <c r="AQ915" s="82"/>
      <c r="AR915" s="84"/>
      <c r="AS915" s="82"/>
      <c r="AT915" s="82"/>
      <c r="AU915" s="82"/>
    </row>
    <row r="916" spans="1:47" ht="15.75" customHeight="1">
      <c r="A916" s="82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  <c r="AD916" s="83"/>
      <c r="AE916" s="83"/>
      <c r="AF916" s="83"/>
      <c r="AG916" s="83"/>
      <c r="AH916" s="83"/>
      <c r="AI916" s="83"/>
      <c r="AJ916" s="83"/>
      <c r="AK916" s="83"/>
      <c r="AL916" s="84"/>
      <c r="AM916" s="84"/>
      <c r="AN916" s="84"/>
      <c r="AO916" s="82"/>
      <c r="AP916" s="82"/>
      <c r="AQ916" s="82"/>
      <c r="AR916" s="84"/>
      <c r="AS916" s="82"/>
      <c r="AT916" s="82"/>
      <c r="AU916" s="82"/>
    </row>
    <row r="917" spans="1:47" ht="15.75" customHeight="1">
      <c r="A917" s="82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  <c r="AD917" s="83"/>
      <c r="AE917" s="83"/>
      <c r="AF917" s="83"/>
      <c r="AG917" s="83"/>
      <c r="AH917" s="83"/>
      <c r="AI917" s="83"/>
      <c r="AJ917" s="83"/>
      <c r="AK917" s="83"/>
      <c r="AL917" s="84"/>
      <c r="AM917" s="84"/>
      <c r="AN917" s="84"/>
      <c r="AO917" s="82"/>
      <c r="AP917" s="82"/>
      <c r="AQ917" s="82"/>
      <c r="AR917" s="84"/>
      <c r="AS917" s="82"/>
      <c r="AT917" s="82"/>
      <c r="AU917" s="82"/>
    </row>
    <row r="918" spans="1:47" ht="15.75" customHeight="1">
      <c r="A918" s="82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  <c r="AD918" s="83"/>
      <c r="AE918" s="83"/>
      <c r="AF918" s="83"/>
      <c r="AG918" s="83"/>
      <c r="AH918" s="83"/>
      <c r="AI918" s="83"/>
      <c r="AJ918" s="83"/>
      <c r="AK918" s="83"/>
      <c r="AL918" s="84"/>
      <c r="AM918" s="84"/>
      <c r="AN918" s="84"/>
      <c r="AO918" s="82"/>
      <c r="AP918" s="82"/>
      <c r="AQ918" s="82"/>
      <c r="AR918" s="84"/>
      <c r="AS918" s="82"/>
      <c r="AT918" s="82"/>
      <c r="AU918" s="82"/>
    </row>
    <row r="919" spans="1:47" ht="15.75" customHeight="1">
      <c r="A919" s="82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  <c r="AD919" s="83"/>
      <c r="AE919" s="83"/>
      <c r="AF919" s="83"/>
      <c r="AG919" s="83"/>
      <c r="AH919" s="83"/>
      <c r="AI919" s="83"/>
      <c r="AJ919" s="83"/>
      <c r="AK919" s="83"/>
      <c r="AL919" s="84"/>
      <c r="AM919" s="84"/>
      <c r="AN919" s="84"/>
      <c r="AO919" s="82"/>
      <c r="AP919" s="82"/>
      <c r="AQ919" s="82"/>
      <c r="AR919" s="84"/>
      <c r="AS919" s="82"/>
      <c r="AT919" s="82"/>
      <c r="AU919" s="82"/>
    </row>
    <row r="920" spans="1:47" ht="15.75" customHeight="1">
      <c r="A920" s="82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  <c r="AD920" s="83"/>
      <c r="AE920" s="83"/>
      <c r="AF920" s="83"/>
      <c r="AG920" s="83"/>
      <c r="AH920" s="83"/>
      <c r="AI920" s="83"/>
      <c r="AJ920" s="83"/>
      <c r="AK920" s="83"/>
      <c r="AL920" s="84"/>
      <c r="AM920" s="84"/>
      <c r="AN920" s="84"/>
      <c r="AO920" s="82"/>
      <c r="AP920" s="82"/>
      <c r="AQ920" s="82"/>
      <c r="AR920" s="84"/>
      <c r="AS920" s="82"/>
      <c r="AT920" s="82"/>
      <c r="AU920" s="82"/>
    </row>
    <row r="921" spans="1:47" ht="15.75" customHeight="1">
      <c r="A921" s="82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  <c r="AD921" s="83"/>
      <c r="AE921" s="83"/>
      <c r="AF921" s="83"/>
      <c r="AG921" s="83"/>
      <c r="AH921" s="83"/>
      <c r="AI921" s="83"/>
      <c r="AJ921" s="83"/>
      <c r="AK921" s="83"/>
      <c r="AL921" s="84"/>
      <c r="AM921" s="84"/>
      <c r="AN921" s="84"/>
      <c r="AO921" s="82"/>
      <c r="AP921" s="82"/>
      <c r="AQ921" s="82"/>
      <c r="AR921" s="84"/>
      <c r="AS921" s="82"/>
      <c r="AT921" s="82"/>
      <c r="AU921" s="82"/>
    </row>
    <row r="922" spans="1:47" ht="15.75" customHeight="1">
      <c r="A922" s="82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  <c r="AD922" s="83"/>
      <c r="AE922" s="83"/>
      <c r="AF922" s="83"/>
      <c r="AG922" s="83"/>
      <c r="AH922" s="83"/>
      <c r="AI922" s="83"/>
      <c r="AJ922" s="83"/>
      <c r="AK922" s="83"/>
      <c r="AL922" s="84"/>
      <c r="AM922" s="84"/>
      <c r="AN922" s="84"/>
      <c r="AO922" s="82"/>
      <c r="AP922" s="82"/>
      <c r="AQ922" s="82"/>
      <c r="AR922" s="84"/>
      <c r="AS922" s="82"/>
      <c r="AT922" s="82"/>
      <c r="AU922" s="82"/>
    </row>
    <row r="923" spans="1:47" ht="15.75" customHeight="1">
      <c r="A923" s="82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  <c r="AD923" s="83"/>
      <c r="AE923" s="83"/>
      <c r="AF923" s="83"/>
      <c r="AG923" s="83"/>
      <c r="AH923" s="83"/>
      <c r="AI923" s="83"/>
      <c r="AJ923" s="83"/>
      <c r="AK923" s="83"/>
      <c r="AL923" s="84"/>
      <c r="AM923" s="84"/>
      <c r="AN923" s="84"/>
      <c r="AO923" s="82"/>
      <c r="AP923" s="82"/>
      <c r="AQ923" s="82"/>
      <c r="AR923" s="84"/>
      <c r="AS923" s="82"/>
      <c r="AT923" s="82"/>
      <c r="AU923" s="82"/>
    </row>
    <row r="924" spans="1:47" ht="15.75" customHeight="1">
      <c r="A924" s="82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  <c r="AD924" s="83"/>
      <c r="AE924" s="83"/>
      <c r="AF924" s="83"/>
      <c r="AG924" s="83"/>
      <c r="AH924" s="83"/>
      <c r="AI924" s="83"/>
      <c r="AJ924" s="83"/>
      <c r="AK924" s="83"/>
      <c r="AL924" s="84"/>
      <c r="AM924" s="84"/>
      <c r="AN924" s="84"/>
      <c r="AO924" s="82"/>
      <c r="AP924" s="82"/>
      <c r="AQ924" s="82"/>
      <c r="AR924" s="84"/>
      <c r="AS924" s="82"/>
      <c r="AT924" s="82"/>
      <c r="AU924" s="82"/>
    </row>
    <row r="925" spans="1:47" ht="15.75" customHeight="1">
      <c r="A925" s="82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  <c r="AD925" s="83"/>
      <c r="AE925" s="83"/>
      <c r="AF925" s="83"/>
      <c r="AG925" s="83"/>
      <c r="AH925" s="83"/>
      <c r="AI925" s="83"/>
      <c r="AJ925" s="83"/>
      <c r="AK925" s="83"/>
      <c r="AL925" s="84"/>
      <c r="AM925" s="84"/>
      <c r="AN925" s="84"/>
      <c r="AO925" s="82"/>
      <c r="AP925" s="82"/>
      <c r="AQ925" s="82"/>
      <c r="AR925" s="84"/>
      <c r="AS925" s="82"/>
      <c r="AT925" s="82"/>
      <c r="AU925" s="82"/>
    </row>
    <row r="926" spans="1:47" ht="15.75" customHeight="1">
      <c r="A926" s="82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  <c r="AD926" s="83"/>
      <c r="AE926" s="83"/>
      <c r="AF926" s="83"/>
      <c r="AG926" s="83"/>
      <c r="AH926" s="83"/>
      <c r="AI926" s="83"/>
      <c r="AJ926" s="83"/>
      <c r="AK926" s="83"/>
      <c r="AL926" s="84"/>
      <c r="AM926" s="84"/>
      <c r="AN926" s="84"/>
      <c r="AO926" s="82"/>
      <c r="AP926" s="82"/>
      <c r="AQ926" s="82"/>
      <c r="AR926" s="84"/>
      <c r="AS926" s="82"/>
      <c r="AT926" s="82"/>
      <c r="AU926" s="82"/>
    </row>
    <row r="927" spans="1:47" ht="15.75" customHeight="1">
      <c r="A927" s="82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  <c r="AD927" s="83"/>
      <c r="AE927" s="83"/>
      <c r="AF927" s="83"/>
      <c r="AG927" s="83"/>
      <c r="AH927" s="83"/>
      <c r="AI927" s="83"/>
      <c r="AJ927" s="83"/>
      <c r="AK927" s="83"/>
      <c r="AL927" s="84"/>
      <c r="AM927" s="84"/>
      <c r="AN927" s="84"/>
      <c r="AO927" s="82"/>
      <c r="AP927" s="82"/>
      <c r="AQ927" s="82"/>
      <c r="AR927" s="84"/>
      <c r="AS927" s="82"/>
      <c r="AT927" s="82"/>
      <c r="AU927" s="82"/>
    </row>
    <row r="928" spans="1:47" ht="15.75" customHeight="1">
      <c r="A928" s="82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  <c r="AD928" s="83"/>
      <c r="AE928" s="83"/>
      <c r="AF928" s="83"/>
      <c r="AG928" s="83"/>
      <c r="AH928" s="83"/>
      <c r="AI928" s="83"/>
      <c r="AJ928" s="83"/>
      <c r="AK928" s="83"/>
      <c r="AL928" s="84"/>
      <c r="AM928" s="84"/>
      <c r="AN928" s="84"/>
      <c r="AO928" s="82"/>
      <c r="AP928" s="82"/>
      <c r="AQ928" s="82"/>
      <c r="AR928" s="84"/>
      <c r="AS928" s="82"/>
      <c r="AT928" s="82"/>
      <c r="AU928" s="82"/>
    </row>
    <row r="929" spans="1:47" ht="15.75" customHeight="1">
      <c r="A929" s="82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  <c r="AD929" s="83"/>
      <c r="AE929" s="83"/>
      <c r="AF929" s="83"/>
      <c r="AG929" s="83"/>
      <c r="AH929" s="83"/>
      <c r="AI929" s="83"/>
      <c r="AJ929" s="83"/>
      <c r="AK929" s="83"/>
      <c r="AL929" s="84"/>
      <c r="AM929" s="84"/>
      <c r="AN929" s="84"/>
      <c r="AO929" s="82"/>
      <c r="AP929" s="82"/>
      <c r="AQ929" s="82"/>
      <c r="AR929" s="84"/>
      <c r="AS929" s="82"/>
      <c r="AT929" s="82"/>
      <c r="AU929" s="82"/>
    </row>
    <row r="930" spans="1:47" ht="15.75" customHeight="1">
      <c r="A930" s="82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  <c r="AD930" s="83"/>
      <c r="AE930" s="83"/>
      <c r="AF930" s="83"/>
      <c r="AG930" s="83"/>
      <c r="AH930" s="83"/>
      <c r="AI930" s="83"/>
      <c r="AJ930" s="83"/>
      <c r="AK930" s="83"/>
      <c r="AL930" s="84"/>
      <c r="AM930" s="84"/>
      <c r="AN930" s="84"/>
      <c r="AO930" s="82"/>
      <c r="AP930" s="82"/>
      <c r="AQ930" s="82"/>
      <c r="AR930" s="84"/>
      <c r="AS930" s="82"/>
      <c r="AT930" s="82"/>
      <c r="AU930" s="82"/>
    </row>
    <row r="931" spans="1:47" ht="15.75" customHeight="1">
      <c r="A931" s="82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  <c r="AD931" s="83"/>
      <c r="AE931" s="83"/>
      <c r="AF931" s="83"/>
      <c r="AG931" s="83"/>
      <c r="AH931" s="83"/>
      <c r="AI931" s="83"/>
      <c r="AJ931" s="83"/>
      <c r="AK931" s="83"/>
      <c r="AL931" s="84"/>
      <c r="AM931" s="84"/>
      <c r="AN931" s="84"/>
      <c r="AO931" s="82"/>
      <c r="AP931" s="82"/>
      <c r="AQ931" s="82"/>
      <c r="AR931" s="84"/>
      <c r="AS931" s="82"/>
      <c r="AT931" s="82"/>
      <c r="AU931" s="82"/>
    </row>
    <row r="932" spans="1:47" ht="15.75" customHeight="1">
      <c r="A932" s="82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  <c r="AD932" s="83"/>
      <c r="AE932" s="83"/>
      <c r="AF932" s="83"/>
      <c r="AG932" s="83"/>
      <c r="AH932" s="83"/>
      <c r="AI932" s="83"/>
      <c r="AJ932" s="83"/>
      <c r="AK932" s="83"/>
      <c r="AL932" s="84"/>
      <c r="AM932" s="84"/>
      <c r="AN932" s="84"/>
      <c r="AO932" s="82"/>
      <c r="AP932" s="82"/>
      <c r="AQ932" s="82"/>
      <c r="AR932" s="84"/>
      <c r="AS932" s="82"/>
      <c r="AT932" s="82"/>
      <c r="AU932" s="82"/>
    </row>
    <row r="933" spans="1:47" ht="15.75" customHeight="1">
      <c r="A933" s="82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  <c r="AD933" s="83"/>
      <c r="AE933" s="83"/>
      <c r="AF933" s="83"/>
      <c r="AG933" s="83"/>
      <c r="AH933" s="83"/>
      <c r="AI933" s="83"/>
      <c r="AJ933" s="83"/>
      <c r="AK933" s="83"/>
      <c r="AL933" s="84"/>
      <c r="AM933" s="84"/>
      <c r="AN933" s="84"/>
      <c r="AO933" s="82"/>
      <c r="AP933" s="82"/>
      <c r="AQ933" s="82"/>
      <c r="AR933" s="84"/>
      <c r="AS933" s="82"/>
      <c r="AT933" s="82"/>
      <c r="AU933" s="82"/>
    </row>
    <row r="934" spans="1:47" ht="15.75" customHeight="1">
      <c r="A934" s="82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  <c r="AD934" s="83"/>
      <c r="AE934" s="83"/>
      <c r="AF934" s="83"/>
      <c r="AG934" s="83"/>
      <c r="AH934" s="83"/>
      <c r="AI934" s="83"/>
      <c r="AJ934" s="83"/>
      <c r="AK934" s="83"/>
      <c r="AL934" s="84"/>
      <c r="AM934" s="84"/>
      <c r="AN934" s="84"/>
      <c r="AO934" s="82"/>
      <c r="AP934" s="82"/>
      <c r="AQ934" s="82"/>
      <c r="AR934" s="84"/>
      <c r="AS934" s="82"/>
      <c r="AT934" s="82"/>
      <c r="AU934" s="82"/>
    </row>
    <row r="935" spans="1:47" ht="15.75" customHeight="1">
      <c r="A935" s="82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  <c r="AD935" s="83"/>
      <c r="AE935" s="83"/>
      <c r="AF935" s="83"/>
      <c r="AG935" s="83"/>
      <c r="AH935" s="83"/>
      <c r="AI935" s="83"/>
      <c r="AJ935" s="83"/>
      <c r="AK935" s="83"/>
      <c r="AL935" s="84"/>
      <c r="AM935" s="84"/>
      <c r="AN935" s="84"/>
      <c r="AO935" s="82"/>
      <c r="AP935" s="82"/>
      <c r="AQ935" s="82"/>
      <c r="AR935" s="84"/>
      <c r="AS935" s="82"/>
      <c r="AT935" s="82"/>
      <c r="AU935" s="82"/>
    </row>
    <row r="936" spans="1:47" ht="15.75" customHeight="1">
      <c r="A936" s="82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  <c r="AD936" s="83"/>
      <c r="AE936" s="83"/>
      <c r="AF936" s="83"/>
      <c r="AG936" s="83"/>
      <c r="AH936" s="83"/>
      <c r="AI936" s="83"/>
      <c r="AJ936" s="83"/>
      <c r="AK936" s="83"/>
      <c r="AL936" s="84"/>
      <c r="AM936" s="84"/>
      <c r="AN936" s="84"/>
      <c r="AO936" s="82"/>
      <c r="AP936" s="82"/>
      <c r="AQ936" s="82"/>
      <c r="AR936" s="84"/>
      <c r="AS936" s="82"/>
      <c r="AT936" s="82"/>
      <c r="AU936" s="82"/>
    </row>
    <row r="937" spans="1:47" ht="15.75" customHeight="1">
      <c r="A937" s="82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  <c r="AD937" s="83"/>
      <c r="AE937" s="83"/>
      <c r="AF937" s="83"/>
      <c r="AG937" s="83"/>
      <c r="AH937" s="83"/>
      <c r="AI937" s="83"/>
      <c r="AJ937" s="83"/>
      <c r="AK937" s="83"/>
      <c r="AL937" s="84"/>
      <c r="AM937" s="84"/>
      <c r="AN937" s="84"/>
      <c r="AO937" s="82"/>
      <c r="AP937" s="82"/>
      <c r="AQ937" s="82"/>
      <c r="AR937" s="84"/>
      <c r="AS937" s="82"/>
      <c r="AT937" s="82"/>
      <c r="AU937" s="82"/>
    </row>
    <row r="938" spans="1:47" ht="15.75" customHeight="1">
      <c r="A938" s="82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  <c r="AD938" s="83"/>
      <c r="AE938" s="83"/>
      <c r="AF938" s="83"/>
      <c r="AG938" s="83"/>
      <c r="AH938" s="83"/>
      <c r="AI938" s="83"/>
      <c r="AJ938" s="83"/>
      <c r="AK938" s="83"/>
      <c r="AL938" s="84"/>
      <c r="AM938" s="84"/>
      <c r="AN938" s="84"/>
      <c r="AO938" s="82"/>
      <c r="AP938" s="82"/>
      <c r="AQ938" s="82"/>
      <c r="AR938" s="84"/>
      <c r="AS938" s="82"/>
      <c r="AT938" s="82"/>
      <c r="AU938" s="82"/>
    </row>
    <row r="939" spans="1:47" ht="15.75" customHeight="1">
      <c r="A939" s="82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  <c r="AD939" s="83"/>
      <c r="AE939" s="83"/>
      <c r="AF939" s="83"/>
      <c r="AG939" s="83"/>
      <c r="AH939" s="83"/>
      <c r="AI939" s="83"/>
      <c r="AJ939" s="83"/>
      <c r="AK939" s="83"/>
      <c r="AL939" s="84"/>
      <c r="AM939" s="84"/>
      <c r="AN939" s="84"/>
      <c r="AO939" s="82"/>
      <c r="AP939" s="82"/>
      <c r="AQ939" s="82"/>
      <c r="AR939" s="84"/>
      <c r="AS939" s="82"/>
      <c r="AT939" s="82"/>
      <c r="AU939" s="82"/>
    </row>
    <row r="940" spans="1:47" ht="15.75" customHeight="1">
      <c r="A940" s="82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  <c r="AD940" s="83"/>
      <c r="AE940" s="83"/>
      <c r="AF940" s="83"/>
      <c r="AG940" s="83"/>
      <c r="AH940" s="83"/>
      <c r="AI940" s="83"/>
      <c r="AJ940" s="83"/>
      <c r="AK940" s="83"/>
      <c r="AL940" s="84"/>
      <c r="AM940" s="84"/>
      <c r="AN940" s="84"/>
      <c r="AO940" s="82"/>
      <c r="AP940" s="82"/>
      <c r="AQ940" s="82"/>
      <c r="AR940" s="84"/>
      <c r="AS940" s="82"/>
      <c r="AT940" s="82"/>
      <c r="AU940" s="82"/>
    </row>
    <row r="941" spans="1:47" ht="15.75" customHeight="1">
      <c r="A941" s="82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  <c r="AD941" s="83"/>
      <c r="AE941" s="83"/>
      <c r="AF941" s="83"/>
      <c r="AG941" s="83"/>
      <c r="AH941" s="83"/>
      <c r="AI941" s="83"/>
      <c r="AJ941" s="83"/>
      <c r="AK941" s="83"/>
      <c r="AL941" s="84"/>
      <c r="AM941" s="84"/>
      <c r="AN941" s="84"/>
      <c r="AO941" s="82"/>
      <c r="AP941" s="82"/>
      <c r="AQ941" s="82"/>
      <c r="AR941" s="84"/>
      <c r="AS941" s="82"/>
      <c r="AT941" s="82"/>
      <c r="AU941" s="82"/>
    </row>
    <row r="942" spans="1:47" ht="15.75" customHeight="1">
      <c r="A942" s="82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  <c r="AD942" s="83"/>
      <c r="AE942" s="83"/>
      <c r="AF942" s="83"/>
      <c r="AG942" s="83"/>
      <c r="AH942" s="83"/>
      <c r="AI942" s="83"/>
      <c r="AJ942" s="83"/>
      <c r="AK942" s="83"/>
      <c r="AL942" s="84"/>
      <c r="AM942" s="84"/>
      <c r="AN942" s="84"/>
      <c r="AO942" s="82"/>
      <c r="AP942" s="82"/>
      <c r="AQ942" s="82"/>
      <c r="AR942" s="84"/>
      <c r="AS942" s="82"/>
      <c r="AT942" s="82"/>
      <c r="AU942" s="82"/>
    </row>
    <row r="943" spans="1:47" ht="15.75" customHeight="1">
      <c r="A943" s="82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  <c r="AD943" s="83"/>
      <c r="AE943" s="83"/>
      <c r="AF943" s="83"/>
      <c r="AG943" s="83"/>
      <c r="AH943" s="83"/>
      <c r="AI943" s="83"/>
      <c r="AJ943" s="83"/>
      <c r="AK943" s="83"/>
      <c r="AL943" s="84"/>
      <c r="AM943" s="84"/>
      <c r="AN943" s="84"/>
      <c r="AO943" s="82"/>
      <c r="AP943" s="82"/>
      <c r="AQ943" s="82"/>
      <c r="AR943" s="84"/>
      <c r="AS943" s="82"/>
      <c r="AT943" s="82"/>
      <c r="AU943" s="82"/>
    </row>
    <row r="944" spans="1:47" ht="15.75" customHeight="1">
      <c r="A944" s="82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  <c r="AD944" s="83"/>
      <c r="AE944" s="83"/>
      <c r="AF944" s="83"/>
      <c r="AG944" s="83"/>
      <c r="AH944" s="83"/>
      <c r="AI944" s="83"/>
      <c r="AJ944" s="83"/>
      <c r="AK944" s="83"/>
      <c r="AL944" s="84"/>
      <c r="AM944" s="84"/>
      <c r="AN944" s="84"/>
      <c r="AO944" s="82"/>
      <c r="AP944" s="82"/>
      <c r="AQ944" s="82"/>
      <c r="AR944" s="84"/>
      <c r="AS944" s="82"/>
      <c r="AT944" s="82"/>
      <c r="AU944" s="82"/>
    </row>
    <row r="945" spans="1:47" ht="15.75" customHeight="1">
      <c r="A945" s="82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  <c r="AD945" s="83"/>
      <c r="AE945" s="83"/>
      <c r="AF945" s="83"/>
      <c r="AG945" s="83"/>
      <c r="AH945" s="83"/>
      <c r="AI945" s="83"/>
      <c r="AJ945" s="83"/>
      <c r="AK945" s="83"/>
      <c r="AL945" s="84"/>
      <c r="AM945" s="84"/>
      <c r="AN945" s="84"/>
      <c r="AO945" s="82"/>
      <c r="AP945" s="82"/>
      <c r="AQ945" s="82"/>
      <c r="AR945" s="84"/>
      <c r="AS945" s="82"/>
      <c r="AT945" s="82"/>
      <c r="AU945" s="82"/>
    </row>
    <row r="946" spans="1:47" ht="15.75" customHeight="1">
      <c r="A946" s="82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  <c r="AD946" s="83"/>
      <c r="AE946" s="83"/>
      <c r="AF946" s="83"/>
      <c r="AG946" s="83"/>
      <c r="AH946" s="83"/>
      <c r="AI946" s="83"/>
      <c r="AJ946" s="83"/>
      <c r="AK946" s="83"/>
      <c r="AL946" s="84"/>
      <c r="AM946" s="84"/>
      <c r="AN946" s="84"/>
      <c r="AO946" s="82"/>
      <c r="AP946" s="82"/>
      <c r="AQ946" s="82"/>
      <c r="AR946" s="84"/>
      <c r="AS946" s="82"/>
      <c r="AT946" s="82"/>
      <c r="AU946" s="82"/>
    </row>
    <row r="947" spans="1:47" ht="15.75" customHeight="1">
      <c r="A947" s="82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  <c r="AD947" s="83"/>
      <c r="AE947" s="83"/>
      <c r="AF947" s="83"/>
      <c r="AG947" s="83"/>
      <c r="AH947" s="83"/>
      <c r="AI947" s="83"/>
      <c r="AJ947" s="83"/>
      <c r="AK947" s="83"/>
      <c r="AL947" s="84"/>
      <c r="AM947" s="84"/>
      <c r="AN947" s="84"/>
      <c r="AO947" s="82"/>
      <c r="AP947" s="82"/>
      <c r="AQ947" s="82"/>
      <c r="AR947" s="84"/>
      <c r="AS947" s="82"/>
      <c r="AT947" s="82"/>
      <c r="AU947" s="82"/>
    </row>
    <row r="948" spans="1:47" ht="15.75" customHeight="1">
      <c r="A948" s="82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  <c r="AD948" s="83"/>
      <c r="AE948" s="83"/>
      <c r="AF948" s="83"/>
      <c r="AG948" s="83"/>
      <c r="AH948" s="83"/>
      <c r="AI948" s="83"/>
      <c r="AJ948" s="83"/>
      <c r="AK948" s="83"/>
      <c r="AL948" s="84"/>
      <c r="AM948" s="84"/>
      <c r="AN948" s="84"/>
      <c r="AO948" s="82"/>
      <c r="AP948" s="82"/>
      <c r="AQ948" s="82"/>
      <c r="AR948" s="84"/>
      <c r="AS948" s="82"/>
      <c r="AT948" s="82"/>
      <c r="AU948" s="82"/>
    </row>
    <row r="949" spans="1:47" ht="15.75" customHeight="1">
      <c r="A949" s="82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  <c r="AD949" s="83"/>
      <c r="AE949" s="83"/>
      <c r="AF949" s="83"/>
      <c r="AG949" s="83"/>
      <c r="AH949" s="83"/>
      <c r="AI949" s="83"/>
      <c r="AJ949" s="83"/>
      <c r="AK949" s="83"/>
      <c r="AL949" s="84"/>
      <c r="AM949" s="84"/>
      <c r="AN949" s="84"/>
      <c r="AO949" s="82"/>
      <c r="AP949" s="82"/>
      <c r="AQ949" s="82"/>
      <c r="AR949" s="84"/>
      <c r="AS949" s="82"/>
      <c r="AT949" s="82"/>
      <c r="AU949" s="82"/>
    </row>
    <row r="950" spans="1:47" ht="15.75" customHeight="1">
      <c r="A950" s="82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  <c r="AD950" s="83"/>
      <c r="AE950" s="83"/>
      <c r="AF950" s="83"/>
      <c r="AG950" s="83"/>
      <c r="AH950" s="83"/>
      <c r="AI950" s="83"/>
      <c r="AJ950" s="83"/>
      <c r="AK950" s="83"/>
      <c r="AL950" s="84"/>
      <c r="AM950" s="84"/>
      <c r="AN950" s="84"/>
      <c r="AO950" s="82"/>
      <c r="AP950" s="82"/>
      <c r="AQ950" s="82"/>
      <c r="AR950" s="84"/>
      <c r="AS950" s="82"/>
      <c r="AT950" s="82"/>
      <c r="AU950" s="82"/>
    </row>
    <row r="951" spans="1:47" ht="15.75" customHeight="1">
      <c r="A951" s="82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  <c r="AD951" s="83"/>
      <c r="AE951" s="83"/>
      <c r="AF951" s="83"/>
      <c r="AG951" s="83"/>
      <c r="AH951" s="83"/>
      <c r="AI951" s="83"/>
      <c r="AJ951" s="83"/>
      <c r="AK951" s="83"/>
      <c r="AL951" s="84"/>
      <c r="AM951" s="84"/>
      <c r="AN951" s="84"/>
      <c r="AO951" s="82"/>
      <c r="AP951" s="82"/>
      <c r="AQ951" s="82"/>
      <c r="AR951" s="84"/>
      <c r="AS951" s="82"/>
      <c r="AT951" s="82"/>
      <c r="AU951" s="82"/>
    </row>
    <row r="952" spans="1:47" ht="15.75" customHeight="1">
      <c r="A952" s="82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  <c r="AD952" s="83"/>
      <c r="AE952" s="83"/>
      <c r="AF952" s="83"/>
      <c r="AG952" s="83"/>
      <c r="AH952" s="83"/>
      <c r="AI952" s="83"/>
      <c r="AJ952" s="83"/>
      <c r="AK952" s="83"/>
      <c r="AL952" s="84"/>
      <c r="AM952" s="84"/>
      <c r="AN952" s="84"/>
      <c r="AO952" s="82"/>
      <c r="AP952" s="82"/>
      <c r="AQ952" s="82"/>
      <c r="AR952" s="84"/>
      <c r="AS952" s="82"/>
      <c r="AT952" s="82"/>
      <c r="AU952" s="82"/>
    </row>
    <row r="953" spans="1:47" ht="15.75" customHeight="1">
      <c r="A953" s="82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  <c r="AD953" s="83"/>
      <c r="AE953" s="83"/>
      <c r="AF953" s="83"/>
      <c r="AG953" s="83"/>
      <c r="AH953" s="83"/>
      <c r="AI953" s="83"/>
      <c r="AJ953" s="83"/>
      <c r="AK953" s="83"/>
      <c r="AL953" s="84"/>
      <c r="AM953" s="84"/>
      <c r="AN953" s="84"/>
      <c r="AO953" s="82"/>
      <c r="AP953" s="82"/>
      <c r="AQ953" s="82"/>
      <c r="AR953" s="84"/>
      <c r="AS953" s="82"/>
      <c r="AT953" s="82"/>
      <c r="AU953" s="82"/>
    </row>
    <row r="954" spans="1:47" ht="15.75" customHeight="1">
      <c r="A954" s="82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  <c r="AD954" s="83"/>
      <c r="AE954" s="83"/>
      <c r="AF954" s="83"/>
      <c r="AG954" s="83"/>
      <c r="AH954" s="83"/>
      <c r="AI954" s="83"/>
      <c r="AJ954" s="83"/>
      <c r="AK954" s="83"/>
      <c r="AL954" s="84"/>
      <c r="AM954" s="84"/>
      <c r="AN954" s="84"/>
      <c r="AO954" s="82"/>
      <c r="AP954" s="82"/>
      <c r="AQ954" s="82"/>
      <c r="AR954" s="84"/>
      <c r="AS954" s="82"/>
      <c r="AT954" s="82"/>
      <c r="AU954" s="82"/>
    </row>
    <row r="955" spans="1:47" ht="15.75" customHeight="1">
      <c r="A955" s="82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  <c r="AD955" s="83"/>
      <c r="AE955" s="83"/>
      <c r="AF955" s="83"/>
      <c r="AG955" s="83"/>
      <c r="AH955" s="83"/>
      <c r="AI955" s="83"/>
      <c r="AJ955" s="83"/>
      <c r="AK955" s="83"/>
      <c r="AL955" s="84"/>
      <c r="AM955" s="84"/>
      <c r="AN955" s="84"/>
      <c r="AO955" s="82"/>
      <c r="AP955" s="82"/>
      <c r="AQ955" s="82"/>
      <c r="AR955" s="84"/>
      <c r="AS955" s="82"/>
      <c r="AT955" s="82"/>
      <c r="AU955" s="82"/>
    </row>
    <row r="956" spans="1:47" ht="15.75" customHeight="1">
      <c r="A956" s="82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  <c r="AD956" s="83"/>
      <c r="AE956" s="83"/>
      <c r="AF956" s="83"/>
      <c r="AG956" s="83"/>
      <c r="AH956" s="83"/>
      <c r="AI956" s="83"/>
      <c r="AJ956" s="83"/>
      <c r="AK956" s="83"/>
      <c r="AL956" s="84"/>
      <c r="AM956" s="84"/>
      <c r="AN956" s="84"/>
      <c r="AO956" s="82"/>
      <c r="AP956" s="82"/>
      <c r="AQ956" s="82"/>
      <c r="AR956" s="84"/>
      <c r="AS956" s="82"/>
      <c r="AT956" s="82"/>
      <c r="AU956" s="82"/>
    </row>
    <row r="957" spans="1:47" ht="15.75" customHeight="1">
      <c r="A957" s="82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  <c r="AD957" s="83"/>
      <c r="AE957" s="83"/>
      <c r="AF957" s="83"/>
      <c r="AG957" s="83"/>
      <c r="AH957" s="83"/>
      <c r="AI957" s="83"/>
      <c r="AJ957" s="83"/>
      <c r="AK957" s="83"/>
      <c r="AL957" s="84"/>
      <c r="AM957" s="84"/>
      <c r="AN957" s="84"/>
      <c r="AO957" s="82"/>
      <c r="AP957" s="82"/>
      <c r="AQ957" s="82"/>
      <c r="AR957" s="84"/>
      <c r="AS957" s="82"/>
      <c r="AT957" s="82"/>
      <c r="AU957" s="82"/>
    </row>
    <row r="958" spans="1:47" ht="15.75" customHeight="1">
      <c r="A958" s="82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  <c r="AD958" s="83"/>
      <c r="AE958" s="83"/>
      <c r="AF958" s="83"/>
      <c r="AG958" s="83"/>
      <c r="AH958" s="83"/>
      <c r="AI958" s="83"/>
      <c r="AJ958" s="83"/>
      <c r="AK958" s="83"/>
      <c r="AL958" s="84"/>
      <c r="AM958" s="84"/>
      <c r="AN958" s="84"/>
      <c r="AO958" s="82"/>
      <c r="AP958" s="82"/>
      <c r="AQ958" s="82"/>
      <c r="AR958" s="84"/>
      <c r="AS958" s="82"/>
      <c r="AT958" s="82"/>
      <c r="AU958" s="82"/>
    </row>
    <row r="959" spans="1:47" ht="15.75" customHeight="1">
      <c r="A959" s="82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  <c r="AD959" s="83"/>
      <c r="AE959" s="83"/>
      <c r="AF959" s="83"/>
      <c r="AG959" s="83"/>
      <c r="AH959" s="83"/>
      <c r="AI959" s="83"/>
      <c r="AJ959" s="83"/>
      <c r="AK959" s="83"/>
      <c r="AL959" s="84"/>
      <c r="AM959" s="84"/>
      <c r="AN959" s="84"/>
      <c r="AO959" s="82"/>
      <c r="AP959" s="82"/>
      <c r="AQ959" s="82"/>
      <c r="AR959" s="84"/>
      <c r="AS959" s="82"/>
      <c r="AT959" s="82"/>
      <c r="AU959" s="82"/>
    </row>
    <row r="960" spans="1:47" ht="15.75" customHeight="1">
      <c r="A960" s="82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  <c r="AD960" s="83"/>
      <c r="AE960" s="83"/>
      <c r="AF960" s="83"/>
      <c r="AG960" s="83"/>
      <c r="AH960" s="83"/>
      <c r="AI960" s="83"/>
      <c r="AJ960" s="83"/>
      <c r="AK960" s="83"/>
      <c r="AL960" s="84"/>
      <c r="AM960" s="84"/>
      <c r="AN960" s="84"/>
      <c r="AO960" s="82"/>
      <c r="AP960" s="82"/>
      <c r="AQ960" s="82"/>
      <c r="AR960" s="84"/>
      <c r="AS960" s="82"/>
      <c r="AT960" s="82"/>
      <c r="AU960" s="82"/>
    </row>
    <row r="961" spans="1:47" ht="15.75" customHeight="1">
      <c r="A961" s="82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  <c r="AD961" s="83"/>
      <c r="AE961" s="83"/>
      <c r="AF961" s="83"/>
      <c r="AG961" s="83"/>
      <c r="AH961" s="83"/>
      <c r="AI961" s="83"/>
      <c r="AJ961" s="83"/>
      <c r="AK961" s="83"/>
      <c r="AL961" s="84"/>
      <c r="AM961" s="84"/>
      <c r="AN961" s="84"/>
      <c r="AO961" s="82"/>
      <c r="AP961" s="82"/>
      <c r="AQ961" s="82"/>
      <c r="AR961" s="84"/>
      <c r="AS961" s="82"/>
      <c r="AT961" s="82"/>
      <c r="AU961" s="82"/>
    </row>
    <row r="962" spans="1:47" ht="15.75" customHeight="1">
      <c r="A962" s="82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  <c r="AB962" s="83"/>
      <c r="AC962" s="83"/>
      <c r="AD962" s="83"/>
      <c r="AE962" s="83"/>
      <c r="AF962" s="83"/>
      <c r="AG962" s="83"/>
      <c r="AH962" s="83"/>
      <c r="AI962" s="83"/>
      <c r="AJ962" s="83"/>
      <c r="AK962" s="83"/>
      <c r="AL962" s="84"/>
      <c r="AM962" s="84"/>
      <c r="AN962" s="84"/>
      <c r="AO962" s="82"/>
      <c r="AP962" s="82"/>
      <c r="AQ962" s="82"/>
      <c r="AR962" s="84"/>
      <c r="AS962" s="82"/>
      <c r="AT962" s="82"/>
      <c r="AU962" s="82"/>
    </row>
    <row r="963" spans="1:47" ht="15.75" customHeight="1">
      <c r="A963" s="82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  <c r="AB963" s="83"/>
      <c r="AC963" s="83"/>
      <c r="AD963" s="83"/>
      <c r="AE963" s="83"/>
      <c r="AF963" s="83"/>
      <c r="AG963" s="83"/>
      <c r="AH963" s="83"/>
      <c r="AI963" s="83"/>
      <c r="AJ963" s="83"/>
      <c r="AK963" s="83"/>
      <c r="AL963" s="84"/>
      <c r="AM963" s="84"/>
      <c r="AN963" s="84"/>
      <c r="AO963" s="82"/>
      <c r="AP963" s="82"/>
      <c r="AQ963" s="82"/>
      <c r="AR963" s="84"/>
      <c r="AS963" s="82"/>
      <c r="AT963" s="82"/>
      <c r="AU963" s="82"/>
    </row>
    <row r="964" spans="1:47" ht="15.75" customHeight="1">
      <c r="A964" s="82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  <c r="AB964" s="83"/>
      <c r="AC964" s="83"/>
      <c r="AD964" s="83"/>
      <c r="AE964" s="83"/>
      <c r="AF964" s="83"/>
      <c r="AG964" s="83"/>
      <c r="AH964" s="83"/>
      <c r="AI964" s="83"/>
      <c r="AJ964" s="83"/>
      <c r="AK964" s="83"/>
      <c r="AL964" s="84"/>
      <c r="AM964" s="84"/>
      <c r="AN964" s="84"/>
      <c r="AO964" s="82"/>
      <c r="AP964" s="82"/>
      <c r="AQ964" s="82"/>
      <c r="AR964" s="84"/>
      <c r="AS964" s="82"/>
      <c r="AT964" s="82"/>
      <c r="AU964" s="82"/>
    </row>
    <row r="965" spans="1:47" ht="15.75" customHeight="1">
      <c r="A965" s="82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  <c r="AB965" s="83"/>
      <c r="AC965" s="83"/>
      <c r="AD965" s="83"/>
      <c r="AE965" s="83"/>
      <c r="AF965" s="83"/>
      <c r="AG965" s="83"/>
      <c r="AH965" s="83"/>
      <c r="AI965" s="83"/>
      <c r="AJ965" s="83"/>
      <c r="AK965" s="83"/>
      <c r="AL965" s="84"/>
      <c r="AM965" s="84"/>
      <c r="AN965" s="84"/>
      <c r="AO965" s="82"/>
      <c r="AP965" s="82"/>
      <c r="AQ965" s="82"/>
      <c r="AR965" s="84"/>
      <c r="AS965" s="82"/>
      <c r="AT965" s="82"/>
      <c r="AU965" s="82"/>
    </row>
    <row r="966" spans="1:47" ht="15.75" customHeight="1">
      <c r="A966" s="82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83"/>
      <c r="AD966" s="83"/>
      <c r="AE966" s="83"/>
      <c r="AF966" s="83"/>
      <c r="AG966" s="83"/>
      <c r="AH966" s="83"/>
      <c r="AI966" s="83"/>
      <c r="AJ966" s="83"/>
      <c r="AK966" s="83"/>
      <c r="AL966" s="84"/>
      <c r="AM966" s="84"/>
      <c r="AN966" s="84"/>
      <c r="AO966" s="82"/>
      <c r="AP966" s="82"/>
      <c r="AQ966" s="82"/>
      <c r="AR966" s="84"/>
      <c r="AS966" s="82"/>
      <c r="AT966" s="82"/>
      <c r="AU966" s="82"/>
    </row>
    <row r="967" spans="1:47" ht="15.75" customHeight="1">
      <c r="A967" s="82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83"/>
      <c r="AD967" s="83"/>
      <c r="AE967" s="83"/>
      <c r="AF967" s="83"/>
      <c r="AG967" s="83"/>
      <c r="AH967" s="83"/>
      <c r="AI967" s="83"/>
      <c r="AJ967" s="83"/>
      <c r="AK967" s="83"/>
      <c r="AL967" s="84"/>
      <c r="AM967" s="84"/>
      <c r="AN967" s="84"/>
      <c r="AO967" s="82"/>
      <c r="AP967" s="82"/>
      <c r="AQ967" s="82"/>
      <c r="AR967" s="84"/>
      <c r="AS967" s="82"/>
      <c r="AT967" s="82"/>
      <c r="AU967" s="82"/>
    </row>
    <row r="968" spans="1:47" ht="15.75" customHeight="1">
      <c r="A968" s="82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83"/>
      <c r="AD968" s="83"/>
      <c r="AE968" s="83"/>
      <c r="AF968" s="83"/>
      <c r="AG968" s="83"/>
      <c r="AH968" s="83"/>
      <c r="AI968" s="83"/>
      <c r="AJ968" s="83"/>
      <c r="AK968" s="83"/>
      <c r="AL968" s="84"/>
      <c r="AM968" s="84"/>
      <c r="AN968" s="84"/>
      <c r="AO968" s="82"/>
      <c r="AP968" s="82"/>
      <c r="AQ968" s="82"/>
      <c r="AR968" s="84"/>
      <c r="AS968" s="82"/>
      <c r="AT968" s="82"/>
      <c r="AU968" s="82"/>
    </row>
    <row r="969" spans="1:47" ht="15.75" customHeight="1">
      <c r="A969" s="82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  <c r="AB969" s="83"/>
      <c r="AC969" s="83"/>
      <c r="AD969" s="83"/>
      <c r="AE969" s="83"/>
      <c r="AF969" s="83"/>
      <c r="AG969" s="83"/>
      <c r="AH969" s="83"/>
      <c r="AI969" s="83"/>
      <c r="AJ969" s="83"/>
      <c r="AK969" s="83"/>
      <c r="AL969" s="84"/>
      <c r="AM969" s="84"/>
      <c r="AN969" s="84"/>
      <c r="AO969" s="82"/>
      <c r="AP969" s="82"/>
      <c r="AQ969" s="82"/>
      <c r="AR969" s="84"/>
      <c r="AS969" s="82"/>
      <c r="AT969" s="82"/>
      <c r="AU969" s="82"/>
    </row>
    <row r="970" spans="1:47" ht="15.75" customHeight="1">
      <c r="A970" s="82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  <c r="AB970" s="83"/>
      <c r="AC970" s="83"/>
      <c r="AD970" s="83"/>
      <c r="AE970" s="83"/>
      <c r="AF970" s="83"/>
      <c r="AG970" s="83"/>
      <c r="AH970" s="83"/>
      <c r="AI970" s="83"/>
      <c r="AJ970" s="83"/>
      <c r="AK970" s="83"/>
      <c r="AL970" s="84"/>
      <c r="AM970" s="84"/>
      <c r="AN970" s="84"/>
      <c r="AO970" s="82"/>
      <c r="AP970" s="82"/>
      <c r="AQ970" s="82"/>
      <c r="AR970" s="84"/>
      <c r="AS970" s="82"/>
      <c r="AT970" s="82"/>
      <c r="AU970" s="82"/>
    </row>
    <row r="971" spans="1:47" ht="15.75" customHeight="1">
      <c r="A971" s="82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83"/>
      <c r="AD971" s="83"/>
      <c r="AE971" s="83"/>
      <c r="AF971" s="83"/>
      <c r="AG971" s="83"/>
      <c r="AH971" s="83"/>
      <c r="AI971" s="83"/>
      <c r="AJ971" s="83"/>
      <c r="AK971" s="83"/>
      <c r="AL971" s="84"/>
      <c r="AM971" s="84"/>
      <c r="AN971" s="84"/>
      <c r="AO971" s="82"/>
      <c r="AP971" s="82"/>
      <c r="AQ971" s="82"/>
      <c r="AR971" s="84"/>
      <c r="AS971" s="82"/>
      <c r="AT971" s="82"/>
      <c r="AU971" s="82"/>
    </row>
    <row r="972" spans="1:47" ht="15.75" customHeight="1">
      <c r="A972" s="82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83"/>
      <c r="AD972" s="83"/>
      <c r="AE972" s="83"/>
      <c r="AF972" s="83"/>
      <c r="AG972" s="83"/>
      <c r="AH972" s="83"/>
      <c r="AI972" s="83"/>
      <c r="AJ972" s="83"/>
      <c r="AK972" s="83"/>
      <c r="AL972" s="84"/>
      <c r="AM972" s="84"/>
      <c r="AN972" s="84"/>
      <c r="AO972" s="82"/>
      <c r="AP972" s="82"/>
      <c r="AQ972" s="82"/>
      <c r="AR972" s="84"/>
      <c r="AS972" s="82"/>
      <c r="AT972" s="82"/>
      <c r="AU972" s="82"/>
    </row>
    <row r="973" spans="1:47" ht="15.75" customHeight="1">
      <c r="A973" s="82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83"/>
      <c r="AD973" s="83"/>
      <c r="AE973" s="83"/>
      <c r="AF973" s="83"/>
      <c r="AG973" s="83"/>
      <c r="AH973" s="83"/>
      <c r="AI973" s="83"/>
      <c r="AJ973" s="83"/>
      <c r="AK973" s="83"/>
      <c r="AL973" s="84"/>
      <c r="AM973" s="84"/>
      <c r="AN973" s="84"/>
      <c r="AO973" s="82"/>
      <c r="AP973" s="82"/>
      <c r="AQ973" s="82"/>
      <c r="AR973" s="84"/>
      <c r="AS973" s="82"/>
      <c r="AT973" s="82"/>
      <c r="AU973" s="82"/>
    </row>
    <row r="974" spans="1:47" ht="15.75" customHeight="1">
      <c r="A974" s="82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  <c r="AB974" s="83"/>
      <c r="AC974" s="83"/>
      <c r="AD974" s="83"/>
      <c r="AE974" s="83"/>
      <c r="AF974" s="83"/>
      <c r="AG974" s="83"/>
      <c r="AH974" s="83"/>
      <c r="AI974" s="83"/>
      <c r="AJ974" s="83"/>
      <c r="AK974" s="83"/>
      <c r="AL974" s="84"/>
      <c r="AM974" s="84"/>
      <c r="AN974" s="84"/>
      <c r="AO974" s="82"/>
      <c r="AP974" s="82"/>
      <c r="AQ974" s="82"/>
      <c r="AR974" s="84"/>
      <c r="AS974" s="82"/>
      <c r="AT974" s="82"/>
      <c r="AU974" s="82"/>
    </row>
    <row r="975" spans="1:47" ht="15.75" customHeight="1">
      <c r="A975" s="82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  <c r="AB975" s="83"/>
      <c r="AC975" s="83"/>
      <c r="AD975" s="83"/>
      <c r="AE975" s="83"/>
      <c r="AF975" s="83"/>
      <c r="AG975" s="83"/>
      <c r="AH975" s="83"/>
      <c r="AI975" s="83"/>
      <c r="AJ975" s="83"/>
      <c r="AK975" s="83"/>
      <c r="AL975" s="84"/>
      <c r="AM975" s="84"/>
      <c r="AN975" s="84"/>
      <c r="AO975" s="82"/>
      <c r="AP975" s="82"/>
      <c r="AQ975" s="82"/>
      <c r="AR975" s="84"/>
      <c r="AS975" s="82"/>
      <c r="AT975" s="82"/>
      <c r="AU975" s="82"/>
    </row>
    <row r="976" spans="1:47" ht="15.75" customHeight="1">
      <c r="A976" s="82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  <c r="AB976" s="83"/>
      <c r="AC976" s="83"/>
      <c r="AD976" s="83"/>
      <c r="AE976" s="83"/>
      <c r="AF976" s="83"/>
      <c r="AG976" s="83"/>
      <c r="AH976" s="83"/>
      <c r="AI976" s="83"/>
      <c r="AJ976" s="83"/>
      <c r="AK976" s="83"/>
      <c r="AL976" s="84"/>
      <c r="AM976" s="84"/>
      <c r="AN976" s="84"/>
      <c r="AO976" s="82"/>
      <c r="AP976" s="82"/>
      <c r="AQ976" s="82"/>
      <c r="AR976" s="84"/>
      <c r="AS976" s="82"/>
      <c r="AT976" s="82"/>
      <c r="AU976" s="82"/>
    </row>
    <row r="977" spans="1:47" ht="15.75" customHeight="1">
      <c r="A977" s="82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  <c r="AB977" s="83"/>
      <c r="AC977" s="83"/>
      <c r="AD977" s="83"/>
      <c r="AE977" s="83"/>
      <c r="AF977" s="83"/>
      <c r="AG977" s="83"/>
      <c r="AH977" s="83"/>
      <c r="AI977" s="83"/>
      <c r="AJ977" s="83"/>
      <c r="AK977" s="83"/>
      <c r="AL977" s="84"/>
      <c r="AM977" s="84"/>
      <c r="AN977" s="84"/>
      <c r="AO977" s="82"/>
      <c r="AP977" s="82"/>
      <c r="AQ977" s="82"/>
      <c r="AR977" s="84"/>
      <c r="AS977" s="82"/>
      <c r="AT977" s="82"/>
      <c r="AU977" s="82"/>
    </row>
    <row r="978" spans="1:47" ht="15.75" customHeight="1">
      <c r="A978" s="82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  <c r="AB978" s="83"/>
      <c r="AC978" s="83"/>
      <c r="AD978" s="83"/>
      <c r="AE978" s="83"/>
      <c r="AF978" s="83"/>
      <c r="AG978" s="83"/>
      <c r="AH978" s="83"/>
      <c r="AI978" s="83"/>
      <c r="AJ978" s="83"/>
      <c r="AK978" s="83"/>
      <c r="AL978" s="84"/>
      <c r="AM978" s="84"/>
      <c r="AN978" s="84"/>
      <c r="AO978" s="82"/>
      <c r="AP978" s="82"/>
      <c r="AQ978" s="82"/>
      <c r="AR978" s="84"/>
      <c r="AS978" s="82"/>
      <c r="AT978" s="82"/>
      <c r="AU978" s="82"/>
    </row>
    <row r="979" spans="1:47" ht="15.75" customHeight="1">
      <c r="A979" s="82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  <c r="AB979" s="83"/>
      <c r="AC979" s="83"/>
      <c r="AD979" s="83"/>
      <c r="AE979" s="83"/>
      <c r="AF979" s="83"/>
      <c r="AG979" s="83"/>
      <c r="AH979" s="83"/>
      <c r="AI979" s="83"/>
      <c r="AJ979" s="83"/>
      <c r="AK979" s="83"/>
      <c r="AL979" s="84"/>
      <c r="AM979" s="84"/>
      <c r="AN979" s="84"/>
      <c r="AO979" s="82"/>
      <c r="AP979" s="82"/>
      <c r="AQ979" s="82"/>
      <c r="AR979" s="84"/>
      <c r="AS979" s="82"/>
      <c r="AT979" s="82"/>
      <c r="AU979" s="82"/>
    </row>
    <row r="980" spans="1:47" ht="15.75" customHeight="1">
      <c r="A980" s="82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  <c r="AB980" s="83"/>
      <c r="AC980" s="83"/>
      <c r="AD980" s="83"/>
      <c r="AE980" s="83"/>
      <c r="AF980" s="83"/>
      <c r="AG980" s="83"/>
      <c r="AH980" s="83"/>
      <c r="AI980" s="83"/>
      <c r="AJ980" s="83"/>
      <c r="AK980" s="83"/>
      <c r="AL980" s="84"/>
      <c r="AM980" s="84"/>
      <c r="AN980" s="84"/>
      <c r="AO980" s="82"/>
      <c r="AP980" s="82"/>
      <c r="AQ980" s="82"/>
      <c r="AR980" s="84"/>
      <c r="AS980" s="82"/>
      <c r="AT980" s="82"/>
      <c r="AU980" s="82"/>
    </row>
    <row r="981" spans="1:47" ht="15.75" customHeight="1">
      <c r="A981" s="82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  <c r="AB981" s="83"/>
      <c r="AC981" s="83"/>
      <c r="AD981" s="83"/>
      <c r="AE981" s="83"/>
      <c r="AF981" s="83"/>
      <c r="AG981" s="83"/>
      <c r="AH981" s="83"/>
      <c r="AI981" s="83"/>
      <c r="AJ981" s="83"/>
      <c r="AK981" s="83"/>
      <c r="AL981" s="84"/>
      <c r="AM981" s="84"/>
      <c r="AN981" s="84"/>
      <c r="AO981" s="82"/>
      <c r="AP981" s="82"/>
      <c r="AQ981" s="82"/>
      <c r="AR981" s="84"/>
      <c r="AS981" s="82"/>
      <c r="AT981" s="82"/>
      <c r="AU981" s="82"/>
    </row>
    <row r="982" spans="1:47" ht="15.75" customHeight="1">
      <c r="A982" s="82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  <c r="AB982" s="83"/>
      <c r="AC982" s="83"/>
      <c r="AD982" s="83"/>
      <c r="AE982" s="83"/>
      <c r="AF982" s="83"/>
      <c r="AG982" s="83"/>
      <c r="AH982" s="83"/>
      <c r="AI982" s="83"/>
      <c r="AJ982" s="83"/>
      <c r="AK982" s="83"/>
      <c r="AL982" s="84"/>
      <c r="AM982" s="84"/>
      <c r="AN982" s="84"/>
      <c r="AO982" s="82"/>
      <c r="AP982" s="82"/>
      <c r="AQ982" s="82"/>
      <c r="AR982" s="84"/>
      <c r="AS982" s="82"/>
      <c r="AT982" s="82"/>
      <c r="AU982" s="82"/>
    </row>
    <row r="983" spans="1:47" ht="15.75" customHeight="1">
      <c r="A983" s="82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  <c r="AB983" s="83"/>
      <c r="AC983" s="83"/>
      <c r="AD983" s="83"/>
      <c r="AE983" s="83"/>
      <c r="AF983" s="83"/>
      <c r="AG983" s="83"/>
      <c r="AH983" s="83"/>
      <c r="AI983" s="83"/>
      <c r="AJ983" s="83"/>
      <c r="AK983" s="83"/>
      <c r="AL983" s="84"/>
      <c r="AM983" s="84"/>
      <c r="AN983" s="84"/>
      <c r="AO983" s="82"/>
      <c r="AP983" s="82"/>
      <c r="AQ983" s="82"/>
      <c r="AR983" s="84"/>
      <c r="AS983" s="82"/>
      <c r="AT983" s="82"/>
      <c r="AU983" s="82"/>
    </row>
    <row r="984" spans="1:47" ht="15.75" customHeight="1">
      <c r="A984" s="82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  <c r="AB984" s="83"/>
      <c r="AC984" s="83"/>
      <c r="AD984" s="83"/>
      <c r="AE984" s="83"/>
      <c r="AF984" s="83"/>
      <c r="AG984" s="83"/>
      <c r="AH984" s="83"/>
      <c r="AI984" s="83"/>
      <c r="AJ984" s="83"/>
      <c r="AK984" s="83"/>
      <c r="AL984" s="84"/>
      <c r="AM984" s="84"/>
      <c r="AN984" s="84"/>
      <c r="AO984" s="82"/>
      <c r="AP984" s="82"/>
      <c r="AQ984" s="82"/>
      <c r="AR984" s="84"/>
      <c r="AS984" s="82"/>
      <c r="AT984" s="82"/>
      <c r="AU984" s="82"/>
    </row>
    <row r="985" spans="1:47" ht="15.75" customHeight="1">
      <c r="A985" s="82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  <c r="AB985" s="83"/>
      <c r="AC985" s="83"/>
      <c r="AD985" s="83"/>
      <c r="AE985" s="83"/>
      <c r="AF985" s="83"/>
      <c r="AG985" s="83"/>
      <c r="AH985" s="83"/>
      <c r="AI985" s="83"/>
      <c r="AJ985" s="83"/>
      <c r="AK985" s="83"/>
      <c r="AL985" s="84"/>
      <c r="AM985" s="84"/>
      <c r="AN985" s="84"/>
      <c r="AO985" s="82"/>
      <c r="AP985" s="82"/>
      <c r="AQ985" s="82"/>
      <c r="AR985" s="84"/>
      <c r="AS985" s="82"/>
      <c r="AT985" s="82"/>
      <c r="AU985" s="82"/>
    </row>
    <row r="986" spans="1:47" ht="15.75" customHeight="1">
      <c r="A986" s="82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  <c r="AB986" s="83"/>
      <c r="AC986" s="83"/>
      <c r="AD986" s="83"/>
      <c r="AE986" s="83"/>
      <c r="AF986" s="83"/>
      <c r="AG986" s="83"/>
      <c r="AH986" s="83"/>
      <c r="AI986" s="83"/>
      <c r="AJ986" s="83"/>
      <c r="AK986" s="83"/>
      <c r="AL986" s="84"/>
      <c r="AM986" s="84"/>
      <c r="AN986" s="84"/>
      <c r="AO986" s="82"/>
      <c r="AP986" s="82"/>
      <c r="AQ986" s="82"/>
      <c r="AR986" s="84"/>
      <c r="AS986" s="82"/>
      <c r="AT986" s="82"/>
      <c r="AU986" s="82"/>
    </row>
    <row r="987" spans="1:47" ht="15.75" customHeight="1">
      <c r="A987" s="82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  <c r="AB987" s="83"/>
      <c r="AC987" s="83"/>
      <c r="AD987" s="83"/>
      <c r="AE987" s="83"/>
      <c r="AF987" s="83"/>
      <c r="AG987" s="83"/>
      <c r="AH987" s="83"/>
      <c r="AI987" s="83"/>
      <c r="AJ987" s="83"/>
      <c r="AK987" s="83"/>
      <c r="AL987" s="84"/>
      <c r="AM987" s="84"/>
      <c r="AN987" s="84"/>
      <c r="AO987" s="82"/>
      <c r="AP987" s="82"/>
      <c r="AQ987" s="82"/>
      <c r="AR987" s="84"/>
      <c r="AS987" s="82"/>
      <c r="AT987" s="82"/>
      <c r="AU987" s="82"/>
    </row>
    <row r="988" spans="1:47" ht="15.75" customHeight="1">
      <c r="A988" s="82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  <c r="AB988" s="83"/>
      <c r="AC988" s="83"/>
      <c r="AD988" s="83"/>
      <c r="AE988" s="83"/>
      <c r="AF988" s="83"/>
      <c r="AG988" s="83"/>
      <c r="AH988" s="83"/>
      <c r="AI988" s="83"/>
      <c r="AJ988" s="83"/>
      <c r="AK988" s="83"/>
      <c r="AL988" s="84"/>
      <c r="AM988" s="84"/>
      <c r="AN988" s="84"/>
      <c r="AO988" s="82"/>
      <c r="AP988" s="82"/>
      <c r="AQ988" s="82"/>
      <c r="AR988" s="84"/>
      <c r="AS988" s="82"/>
      <c r="AT988" s="82"/>
      <c r="AU988" s="82"/>
    </row>
    <row r="989" spans="1:47" ht="15.75" customHeight="1">
      <c r="A989" s="82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  <c r="AB989" s="83"/>
      <c r="AC989" s="83"/>
      <c r="AD989" s="83"/>
      <c r="AE989" s="83"/>
      <c r="AF989" s="83"/>
      <c r="AG989" s="83"/>
      <c r="AH989" s="83"/>
      <c r="AI989" s="83"/>
      <c r="AJ989" s="83"/>
      <c r="AK989" s="83"/>
      <c r="AL989" s="84"/>
      <c r="AM989" s="84"/>
      <c r="AN989" s="84"/>
      <c r="AO989" s="82"/>
      <c r="AP989" s="82"/>
      <c r="AQ989" s="82"/>
      <c r="AR989" s="84"/>
      <c r="AS989" s="82"/>
      <c r="AT989" s="82"/>
      <c r="AU989" s="82"/>
    </row>
    <row r="990" spans="1:47" ht="15.75" customHeight="1">
      <c r="A990" s="82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  <c r="AB990" s="83"/>
      <c r="AC990" s="83"/>
      <c r="AD990" s="83"/>
      <c r="AE990" s="83"/>
      <c r="AF990" s="83"/>
      <c r="AG990" s="83"/>
      <c r="AH990" s="83"/>
      <c r="AI990" s="83"/>
      <c r="AJ990" s="83"/>
      <c r="AK990" s="83"/>
      <c r="AL990" s="84"/>
      <c r="AM990" s="84"/>
      <c r="AN990" s="84"/>
      <c r="AO990" s="82"/>
      <c r="AP990" s="82"/>
      <c r="AQ990" s="82"/>
      <c r="AR990" s="84"/>
      <c r="AS990" s="82"/>
      <c r="AT990" s="82"/>
      <c r="AU990" s="82"/>
    </row>
    <row r="991" spans="1:47" ht="15.75" customHeight="1">
      <c r="A991" s="82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  <c r="AB991" s="83"/>
      <c r="AC991" s="83"/>
      <c r="AD991" s="83"/>
      <c r="AE991" s="83"/>
      <c r="AF991" s="83"/>
      <c r="AG991" s="83"/>
      <c r="AH991" s="83"/>
      <c r="AI991" s="83"/>
      <c r="AJ991" s="83"/>
      <c r="AK991" s="83"/>
      <c r="AL991" s="84"/>
      <c r="AM991" s="84"/>
      <c r="AN991" s="84"/>
      <c r="AO991" s="82"/>
      <c r="AP991" s="82"/>
      <c r="AQ991" s="82"/>
      <c r="AR991" s="84"/>
      <c r="AS991" s="82"/>
      <c r="AT991" s="82"/>
      <c r="AU991" s="82"/>
    </row>
    <row r="992" spans="1:47" ht="15.75" customHeight="1">
      <c r="A992" s="82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  <c r="AB992" s="83"/>
      <c r="AC992" s="83"/>
      <c r="AD992" s="83"/>
      <c r="AE992" s="83"/>
      <c r="AF992" s="83"/>
      <c r="AG992" s="83"/>
      <c r="AH992" s="83"/>
      <c r="AI992" s="83"/>
      <c r="AJ992" s="83"/>
      <c r="AK992" s="83"/>
      <c r="AL992" s="84"/>
      <c r="AM992" s="84"/>
      <c r="AN992" s="84"/>
      <c r="AO992" s="82"/>
      <c r="AP992" s="82"/>
      <c r="AQ992" s="82"/>
      <c r="AR992" s="84"/>
      <c r="AS992" s="82"/>
      <c r="AT992" s="82"/>
      <c r="AU992" s="82"/>
    </row>
    <row r="993" spans="1:47" ht="15.75" customHeight="1">
      <c r="A993" s="82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  <c r="AB993" s="83"/>
      <c r="AC993" s="83"/>
      <c r="AD993" s="83"/>
      <c r="AE993" s="83"/>
      <c r="AF993" s="83"/>
      <c r="AG993" s="83"/>
      <c r="AH993" s="83"/>
      <c r="AI993" s="83"/>
      <c r="AJ993" s="83"/>
      <c r="AK993" s="83"/>
      <c r="AL993" s="84"/>
      <c r="AM993" s="84"/>
      <c r="AN993" s="84"/>
      <c r="AO993" s="82"/>
      <c r="AP993" s="82"/>
      <c r="AQ993" s="82"/>
      <c r="AR993" s="84"/>
      <c r="AS993" s="82"/>
      <c r="AT993" s="82"/>
      <c r="AU993" s="82"/>
    </row>
    <row r="994" spans="1:47" ht="15.75" customHeight="1">
      <c r="A994" s="82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  <c r="AB994" s="83"/>
      <c r="AC994" s="83"/>
      <c r="AD994" s="83"/>
      <c r="AE994" s="83"/>
      <c r="AF994" s="83"/>
      <c r="AG994" s="83"/>
      <c r="AH994" s="83"/>
      <c r="AI994" s="83"/>
      <c r="AJ994" s="83"/>
      <c r="AK994" s="83"/>
      <c r="AL994" s="84"/>
      <c r="AM994" s="84"/>
      <c r="AN994" s="84"/>
      <c r="AO994" s="82"/>
      <c r="AP994" s="82"/>
      <c r="AQ994" s="82"/>
      <c r="AR994" s="84"/>
      <c r="AS994" s="82"/>
      <c r="AT994" s="82"/>
      <c r="AU994" s="82"/>
    </row>
    <row r="995" spans="1:47" ht="15.75" customHeight="1">
      <c r="A995" s="82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  <c r="AB995" s="83"/>
      <c r="AC995" s="83"/>
      <c r="AD995" s="83"/>
      <c r="AE995" s="83"/>
      <c r="AF995" s="83"/>
      <c r="AG995" s="83"/>
      <c r="AH995" s="83"/>
      <c r="AI995" s="83"/>
      <c r="AJ995" s="83"/>
      <c r="AK995" s="83"/>
      <c r="AL995" s="84"/>
      <c r="AM995" s="84"/>
      <c r="AN995" s="84"/>
      <c r="AO995" s="82"/>
      <c r="AP995" s="82"/>
      <c r="AQ995" s="82"/>
      <c r="AR995" s="84"/>
      <c r="AS995" s="82"/>
      <c r="AT995" s="82"/>
      <c r="AU995" s="82"/>
    </row>
    <row r="996" spans="1:47" ht="15.75" customHeight="1">
      <c r="A996" s="82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  <c r="AB996" s="83"/>
      <c r="AC996" s="83"/>
      <c r="AD996" s="83"/>
      <c r="AE996" s="83"/>
      <c r="AF996" s="83"/>
      <c r="AG996" s="83"/>
      <c r="AH996" s="83"/>
      <c r="AI996" s="83"/>
      <c r="AJ996" s="83"/>
      <c r="AK996" s="83"/>
      <c r="AL996" s="84"/>
      <c r="AM996" s="84"/>
      <c r="AN996" s="84"/>
      <c r="AO996" s="82"/>
      <c r="AP996" s="82"/>
      <c r="AQ996" s="82"/>
      <c r="AR996" s="84"/>
      <c r="AS996" s="82"/>
      <c r="AT996" s="82"/>
      <c r="AU996" s="82"/>
    </row>
    <row r="997" spans="1:47" ht="15.75" customHeight="1">
      <c r="A997" s="82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  <c r="AB997" s="83"/>
      <c r="AC997" s="83"/>
      <c r="AD997" s="83"/>
      <c r="AE997" s="83"/>
      <c r="AF997" s="83"/>
      <c r="AG997" s="83"/>
      <c r="AH997" s="83"/>
      <c r="AI997" s="83"/>
      <c r="AJ997" s="83"/>
      <c r="AK997" s="83"/>
      <c r="AL997" s="84"/>
      <c r="AM997" s="84"/>
      <c r="AN997" s="84"/>
      <c r="AO997" s="82"/>
      <c r="AP997" s="82"/>
      <c r="AQ997" s="82"/>
      <c r="AR997" s="84"/>
      <c r="AS997" s="82"/>
      <c r="AT997" s="82"/>
      <c r="AU997" s="82"/>
    </row>
    <row r="998" spans="1:47" ht="15.75" customHeight="1">
      <c r="A998" s="82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  <c r="AB998" s="83"/>
      <c r="AC998" s="83"/>
      <c r="AD998" s="83"/>
      <c r="AE998" s="83"/>
      <c r="AF998" s="83"/>
      <c r="AG998" s="83"/>
      <c r="AH998" s="83"/>
      <c r="AI998" s="83"/>
      <c r="AJ998" s="83"/>
      <c r="AK998" s="83"/>
      <c r="AL998" s="84"/>
      <c r="AM998" s="84"/>
      <c r="AN998" s="84"/>
      <c r="AO998" s="82"/>
      <c r="AP998" s="82"/>
      <c r="AQ998" s="82"/>
      <c r="AR998" s="84"/>
      <c r="AS998" s="82"/>
      <c r="AT998" s="82"/>
      <c r="AU998" s="82"/>
    </row>
    <row r="999" spans="1:47" ht="15.75" customHeight="1">
      <c r="A999" s="82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  <c r="AB999" s="83"/>
      <c r="AC999" s="83"/>
      <c r="AD999" s="83"/>
      <c r="AE999" s="83"/>
      <c r="AF999" s="83"/>
      <c r="AG999" s="83"/>
      <c r="AH999" s="83"/>
      <c r="AI999" s="83"/>
      <c r="AJ999" s="83"/>
      <c r="AK999" s="83"/>
      <c r="AL999" s="84"/>
      <c r="AM999" s="84"/>
      <c r="AN999" s="84"/>
      <c r="AO999" s="82"/>
      <c r="AP999" s="82"/>
      <c r="AQ999" s="82"/>
      <c r="AR999" s="84"/>
      <c r="AS999" s="82"/>
      <c r="AT999" s="82"/>
      <c r="AU999" s="82"/>
    </row>
    <row r="1000" spans="1:47" ht="15.75" customHeight="1">
      <c r="A1000" s="82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  <c r="AB1000" s="83"/>
      <c r="AC1000" s="83"/>
      <c r="AD1000" s="83"/>
      <c r="AE1000" s="83"/>
      <c r="AF1000" s="83"/>
      <c r="AG1000" s="83"/>
      <c r="AH1000" s="83"/>
      <c r="AI1000" s="83"/>
      <c r="AJ1000" s="83"/>
      <c r="AK1000" s="83"/>
      <c r="AL1000" s="84"/>
      <c r="AM1000" s="84"/>
      <c r="AN1000" s="84"/>
      <c r="AO1000" s="82"/>
      <c r="AP1000" s="82"/>
      <c r="AQ1000" s="82"/>
      <c r="AR1000" s="84"/>
      <c r="AS1000" s="82"/>
      <c r="AT1000" s="82"/>
      <c r="AU1000" s="82"/>
    </row>
    <row r="1001" spans="1:47" ht="15.75" customHeight="1">
      <c r="A1001" s="82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  <c r="X1001" s="83"/>
      <c r="Y1001" s="83"/>
      <c r="Z1001" s="83"/>
      <c r="AA1001" s="83"/>
      <c r="AB1001" s="83"/>
      <c r="AC1001" s="83"/>
      <c r="AD1001" s="83"/>
      <c r="AE1001" s="83"/>
      <c r="AF1001" s="83"/>
      <c r="AG1001" s="83"/>
      <c r="AH1001" s="83"/>
      <c r="AI1001" s="83"/>
      <c r="AJ1001" s="83"/>
      <c r="AK1001" s="83"/>
      <c r="AL1001" s="84"/>
      <c r="AM1001" s="84"/>
      <c r="AN1001" s="84"/>
      <c r="AO1001" s="82"/>
      <c r="AP1001" s="82"/>
      <c r="AQ1001" s="82"/>
      <c r="AR1001" s="84"/>
      <c r="AS1001" s="82"/>
      <c r="AT1001" s="82"/>
      <c r="AU1001" s="82"/>
    </row>
  </sheetData>
  <sortState ref="A1:AU30">
    <sortCondition descending="1" ref="AL1:AL30"/>
  </sortState>
  <mergeCells count="5">
    <mergeCell ref="AH35:AJ35"/>
    <mergeCell ref="V31:AB31"/>
    <mergeCell ref="AC31:AF31"/>
    <mergeCell ref="AH33:AJ33"/>
    <mergeCell ref="AH34:AJ34"/>
  </mergeCells>
  <dataValidations count="1">
    <dataValidation type="custom" allowBlank="1" showDropDown="1" sqref="B2:F30 AL3:AL30 B31:U31 B32:C33 E32:F33 B34:F34 B35:C55 B56 E35:F56 AG31:AG56"/>
  </dataValidations>
  <pageMargins left="0.25" right="0.25" top="0.75" bottom="0.7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1" width="20.42578125" customWidth="1"/>
    <col min="2" max="2" width="12.42578125" customWidth="1"/>
    <col min="3" max="3" width="10.7109375" customWidth="1"/>
    <col min="4" max="4" width="20.28515625" customWidth="1"/>
    <col min="5" max="6" width="11.140625" customWidth="1"/>
    <col min="7" max="7" width="21.7109375" customWidth="1"/>
    <col min="8" max="8" width="11.42578125" customWidth="1"/>
    <col min="9" max="9" width="11.5703125" customWidth="1"/>
    <col min="10" max="10" width="21.42578125" customWidth="1"/>
    <col min="11" max="11" width="11.28515625" customWidth="1"/>
    <col min="12" max="12" width="12" customWidth="1"/>
    <col min="13" max="13" width="58.140625" customWidth="1"/>
    <col min="14" max="14" width="28.42578125" customWidth="1"/>
    <col min="15" max="26" width="11" customWidth="1"/>
  </cols>
  <sheetData>
    <row r="1" spans="1:14" ht="15.75" customHeight="1">
      <c r="A1" s="85" t="s">
        <v>110</v>
      </c>
      <c r="B1" s="86" t="s">
        <v>111</v>
      </c>
      <c r="C1" s="87" t="s">
        <v>112</v>
      </c>
      <c r="D1" s="85" t="s">
        <v>113</v>
      </c>
      <c r="E1" s="85" t="s">
        <v>114</v>
      </c>
      <c r="F1" s="87" t="s">
        <v>115</v>
      </c>
      <c r="G1" s="85" t="s">
        <v>116</v>
      </c>
      <c r="H1" s="88" t="s">
        <v>117</v>
      </c>
      <c r="I1" s="87" t="s">
        <v>118</v>
      </c>
      <c r="J1" s="85" t="s">
        <v>119</v>
      </c>
      <c r="K1" s="88" t="s">
        <v>120</v>
      </c>
      <c r="L1" s="87" t="s">
        <v>121</v>
      </c>
      <c r="M1" s="89" t="s">
        <v>122</v>
      </c>
      <c r="N1" s="90" t="s">
        <v>123</v>
      </c>
    </row>
    <row r="2" spans="1:14" ht="63.75">
      <c r="A2" s="91" t="s">
        <v>124</v>
      </c>
      <c r="B2" s="92" t="s">
        <v>125</v>
      </c>
      <c r="C2" s="93" t="s">
        <v>126</v>
      </c>
      <c r="D2" s="94" t="s">
        <v>127</v>
      </c>
      <c r="E2" s="95" t="s">
        <v>128</v>
      </c>
      <c r="F2" s="93" t="s">
        <v>129</v>
      </c>
      <c r="G2" s="96" t="s">
        <v>130</v>
      </c>
      <c r="H2" s="97" t="s">
        <v>131</v>
      </c>
      <c r="I2" s="93" t="s">
        <v>132</v>
      </c>
      <c r="J2" s="94" t="s">
        <v>133</v>
      </c>
      <c r="K2" s="98" t="s">
        <v>134</v>
      </c>
      <c r="L2" s="99" t="s">
        <v>135</v>
      </c>
      <c r="M2" s="96" t="s">
        <v>136</v>
      </c>
      <c r="N2" s="94" t="s">
        <v>137</v>
      </c>
    </row>
    <row r="3" spans="1:14" ht="51">
      <c r="A3" s="100" t="s">
        <v>138</v>
      </c>
      <c r="B3" s="95"/>
      <c r="C3" s="101" t="s">
        <v>139</v>
      </c>
      <c r="D3" s="94" t="s">
        <v>140</v>
      </c>
      <c r="E3" s="95"/>
      <c r="F3" s="102" t="s">
        <v>139</v>
      </c>
      <c r="G3" s="94" t="s">
        <v>141</v>
      </c>
      <c r="H3" s="98"/>
      <c r="I3" s="101" t="s">
        <v>139</v>
      </c>
      <c r="J3" s="94" t="s">
        <v>142</v>
      </c>
      <c r="K3" s="100"/>
      <c r="L3" s="102" t="s">
        <v>139</v>
      </c>
      <c r="M3" s="94" t="s">
        <v>143</v>
      </c>
      <c r="N3" s="94" t="s">
        <v>144</v>
      </c>
    </row>
    <row r="4" spans="1:14" ht="76.5">
      <c r="A4" s="100" t="s">
        <v>145</v>
      </c>
      <c r="B4" s="95" t="s">
        <v>146</v>
      </c>
      <c r="C4" s="102" t="s">
        <v>147</v>
      </c>
      <c r="D4" s="96" t="s">
        <v>148</v>
      </c>
      <c r="E4" s="92" t="s">
        <v>149</v>
      </c>
      <c r="F4" s="102" t="s">
        <v>147</v>
      </c>
      <c r="G4" s="94" t="s">
        <v>150</v>
      </c>
      <c r="H4" s="98" t="s">
        <v>151</v>
      </c>
      <c r="I4" s="102" t="s">
        <v>147</v>
      </c>
      <c r="J4" s="94" t="s">
        <v>152</v>
      </c>
      <c r="K4" s="100" t="s">
        <v>153</v>
      </c>
      <c r="L4" s="102" t="s">
        <v>147</v>
      </c>
      <c r="M4" s="94" t="s">
        <v>154</v>
      </c>
      <c r="N4" s="94" t="s">
        <v>155</v>
      </c>
    </row>
    <row r="5" spans="1:14" ht="63.75">
      <c r="A5" s="100" t="s">
        <v>156</v>
      </c>
      <c r="B5" s="95"/>
      <c r="C5" s="102" t="s">
        <v>157</v>
      </c>
      <c r="D5" s="98" t="s">
        <v>158</v>
      </c>
      <c r="E5" s="95"/>
      <c r="F5" s="102" t="s">
        <v>159</v>
      </c>
      <c r="G5" s="94" t="s">
        <v>160</v>
      </c>
      <c r="H5" s="98" t="s">
        <v>161</v>
      </c>
      <c r="I5" s="102" t="s">
        <v>162</v>
      </c>
      <c r="J5" s="103" t="s">
        <v>163</v>
      </c>
      <c r="K5" s="100"/>
      <c r="L5" s="102" t="s">
        <v>164</v>
      </c>
      <c r="M5" s="94" t="s">
        <v>165</v>
      </c>
      <c r="N5" s="94" t="s">
        <v>166</v>
      </c>
    </row>
    <row r="6" spans="1:14" ht="63.75">
      <c r="A6" s="100" t="s">
        <v>167</v>
      </c>
      <c r="B6" s="95" t="s">
        <v>168</v>
      </c>
      <c r="C6" s="102"/>
      <c r="D6" s="104" t="s">
        <v>169</v>
      </c>
      <c r="E6" s="95" t="s">
        <v>170</v>
      </c>
      <c r="F6" s="98"/>
      <c r="G6" s="94" t="s">
        <v>171</v>
      </c>
      <c r="H6" s="91" t="s">
        <v>172</v>
      </c>
      <c r="I6" s="98"/>
      <c r="J6" s="94" t="s">
        <v>173</v>
      </c>
      <c r="K6" s="100" t="s">
        <v>174</v>
      </c>
      <c r="L6" s="98"/>
      <c r="M6" s="105" t="s">
        <v>175</v>
      </c>
      <c r="N6" s="98"/>
    </row>
    <row r="7" spans="1:14" ht="76.5">
      <c r="A7" s="100" t="s">
        <v>176</v>
      </c>
      <c r="B7" s="95"/>
      <c r="C7" s="106"/>
      <c r="D7" s="94" t="s">
        <v>177</v>
      </c>
      <c r="E7" s="95"/>
      <c r="F7" s="98"/>
      <c r="G7" s="96" t="s">
        <v>178</v>
      </c>
      <c r="H7" s="98"/>
      <c r="I7" s="98"/>
      <c r="J7" s="94" t="s">
        <v>179</v>
      </c>
      <c r="K7" s="95"/>
      <c r="L7" s="98"/>
      <c r="M7" s="104" t="s">
        <v>180</v>
      </c>
      <c r="N7" s="98"/>
    </row>
    <row r="8" spans="1:14" ht="37.5" customHeight="1">
      <c r="A8" s="95"/>
      <c r="B8" s="95"/>
      <c r="C8" s="98"/>
      <c r="D8" s="106"/>
      <c r="E8" s="106"/>
      <c r="F8" s="98"/>
      <c r="G8" s="106"/>
      <c r="H8" s="106"/>
      <c r="I8" s="98"/>
      <c r="J8" s="98"/>
      <c r="K8" s="95"/>
      <c r="L8" s="98"/>
      <c r="M8" s="104" t="s">
        <v>181</v>
      </c>
      <c r="N8" s="98"/>
    </row>
    <row r="9" spans="1:14" ht="15.75" customHeight="1">
      <c r="A9" s="95"/>
      <c r="B9" s="95"/>
      <c r="C9" s="98"/>
      <c r="D9" s="106"/>
      <c r="E9" s="106"/>
      <c r="F9" s="98"/>
      <c r="G9" s="98"/>
      <c r="H9" s="98"/>
      <c r="I9" s="98"/>
      <c r="J9" s="98"/>
      <c r="K9" s="95"/>
      <c r="L9" s="98"/>
      <c r="M9" s="106"/>
      <c r="N9" s="98"/>
    </row>
    <row r="10" spans="1:14" ht="15.75" customHeight="1">
      <c r="A10" s="95"/>
      <c r="B10" s="95"/>
      <c r="C10" s="98"/>
      <c r="D10" s="98"/>
      <c r="E10" s="95"/>
      <c r="F10" s="98"/>
      <c r="G10" s="98"/>
      <c r="H10" s="98"/>
      <c r="I10" s="98"/>
      <c r="J10" s="98"/>
      <c r="K10" s="95"/>
      <c r="L10" s="98"/>
      <c r="M10" s="107"/>
      <c r="N10" s="98"/>
    </row>
    <row r="11" spans="1:14" ht="107.25" customHeight="1">
      <c r="A11" s="108" t="s">
        <v>182</v>
      </c>
      <c r="B11" s="106"/>
      <c r="C11" s="98"/>
      <c r="D11" s="98"/>
      <c r="E11" s="95"/>
      <c r="F11" s="98"/>
      <c r="G11" s="98"/>
      <c r="H11" s="98"/>
      <c r="I11" s="98"/>
      <c r="J11" s="98"/>
      <c r="K11" s="95"/>
      <c r="L11" s="98"/>
      <c r="M11" s="109" t="s">
        <v>183</v>
      </c>
      <c r="N11" s="109" t="s">
        <v>184</v>
      </c>
    </row>
    <row r="12" spans="1:14" ht="15.75" customHeight="1">
      <c r="A12" s="95"/>
      <c r="B12" s="95"/>
      <c r="C12" s="98"/>
      <c r="D12" s="98"/>
      <c r="E12" s="95"/>
      <c r="F12" s="98"/>
      <c r="G12" s="98"/>
      <c r="H12" s="98"/>
      <c r="I12" s="98"/>
      <c r="J12" s="98"/>
      <c r="K12" s="95"/>
      <c r="L12" s="98"/>
      <c r="M12" s="98"/>
      <c r="N12" s="98"/>
    </row>
    <row r="13" spans="1:14" ht="15.75" customHeight="1">
      <c r="A13" s="110"/>
      <c r="B13" s="111"/>
      <c r="C13" s="112"/>
      <c r="D13" s="112"/>
      <c r="E13" s="111"/>
      <c r="F13" s="112"/>
      <c r="G13" s="112"/>
      <c r="H13" s="112"/>
      <c r="I13" s="112"/>
      <c r="J13" s="112"/>
      <c r="K13" s="111"/>
      <c r="L13" s="112"/>
      <c r="M13" s="112"/>
      <c r="N13" s="113"/>
    </row>
    <row r="14" spans="1:14" ht="15.75" customHeight="1">
      <c r="A14" s="114"/>
      <c r="B14" s="115"/>
      <c r="C14" s="116"/>
      <c r="D14" s="116"/>
      <c r="E14" s="115"/>
      <c r="F14" s="116"/>
      <c r="G14" s="116"/>
      <c r="H14" s="116"/>
      <c r="I14" s="116"/>
      <c r="J14" s="116"/>
      <c r="K14" s="115"/>
      <c r="L14" s="116"/>
      <c r="M14" s="116"/>
      <c r="N14" s="117"/>
    </row>
    <row r="15" spans="1:14" ht="15.75" customHeight="1">
      <c r="A15" s="110"/>
      <c r="B15" s="111"/>
      <c r="C15" s="112"/>
      <c r="D15" s="112"/>
      <c r="E15" s="111"/>
      <c r="F15" s="112"/>
      <c r="G15" s="112"/>
      <c r="H15" s="112"/>
      <c r="I15" s="112"/>
      <c r="J15" s="112"/>
      <c r="K15" s="111"/>
      <c r="L15" s="112"/>
      <c r="M15" s="112"/>
      <c r="N15" s="113"/>
    </row>
    <row r="16" spans="1:14" ht="15.75" customHeight="1">
      <c r="A16" s="118"/>
      <c r="B16" s="119"/>
      <c r="C16" s="120"/>
      <c r="D16" s="120"/>
      <c r="E16" s="119"/>
      <c r="F16" s="120"/>
      <c r="G16" s="120"/>
      <c r="H16" s="120"/>
      <c r="I16" s="120"/>
      <c r="J16" s="120"/>
      <c r="K16" s="119"/>
      <c r="L16" s="120"/>
      <c r="M16" s="120"/>
      <c r="N16" s="12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996"/>
  <sheetViews>
    <sheetView workbookViewId="0">
      <selection activeCell="D6" sqref="D6:D7"/>
    </sheetView>
  </sheetViews>
  <sheetFormatPr defaultColWidth="12.5703125" defaultRowHeight="15" customHeight="1"/>
  <cols>
    <col min="1" max="1" width="3.85546875" customWidth="1"/>
    <col min="2" max="2" width="5.42578125" customWidth="1"/>
    <col min="3" max="3" width="15.42578125" customWidth="1"/>
    <col min="4" max="4" width="85.7109375" customWidth="1"/>
    <col min="5" max="5" width="8" customWidth="1"/>
    <col min="6" max="6" width="21.7109375" customWidth="1"/>
    <col min="7" max="7" width="16.140625" customWidth="1"/>
    <col min="8" max="8" width="17.85546875" customWidth="1"/>
    <col min="9" max="26" width="8" customWidth="1"/>
  </cols>
  <sheetData>
    <row r="1" spans="1:26" ht="12.75" customHeight="1">
      <c r="A1" s="122"/>
      <c r="B1" s="123"/>
      <c r="C1" s="124" t="s">
        <v>185</v>
      </c>
      <c r="D1" s="125"/>
      <c r="E1" s="125"/>
      <c r="F1" s="125"/>
      <c r="G1" s="125" t="s">
        <v>186</v>
      </c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 spans="1:26" ht="12.75" customHeight="1">
      <c r="A2" s="122"/>
      <c r="B2" s="123"/>
      <c r="C2" s="126" t="s">
        <v>187</v>
      </c>
      <c r="D2" s="125"/>
      <c r="E2" s="127"/>
      <c r="F2" s="128" t="s">
        <v>188</v>
      </c>
      <c r="G2" s="129">
        <v>4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</row>
    <row r="3" spans="1:26" ht="12.75" customHeight="1">
      <c r="A3" s="122"/>
      <c r="B3" s="123"/>
      <c r="C3" s="126" t="s">
        <v>189</v>
      </c>
      <c r="D3" s="125"/>
      <c r="E3" s="130"/>
      <c r="F3" s="131" t="s">
        <v>190</v>
      </c>
      <c r="G3" s="129">
        <v>7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</row>
    <row r="4" spans="1:26" ht="12.75" customHeight="1">
      <c r="A4" s="122"/>
      <c r="B4" s="132" t="s">
        <v>191</v>
      </c>
      <c r="C4" s="125"/>
      <c r="D4" s="125"/>
      <c r="E4" s="133"/>
      <c r="F4" s="131" t="s">
        <v>192</v>
      </c>
      <c r="G4" s="129">
        <v>4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</row>
    <row r="5" spans="1:26" ht="12.75" customHeight="1">
      <c r="A5" s="122"/>
      <c r="B5" s="132" t="s">
        <v>193</v>
      </c>
      <c r="C5" s="134" t="s">
        <v>194</v>
      </c>
      <c r="D5" s="134" t="s">
        <v>195</v>
      </c>
      <c r="E5" s="135"/>
      <c r="F5" s="136" t="s">
        <v>196</v>
      </c>
      <c r="G5" s="129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</row>
    <row r="6" spans="1:26" ht="12.75" customHeight="1">
      <c r="A6" s="122">
        <v>1</v>
      </c>
      <c r="B6" s="137">
        <v>1</v>
      </c>
      <c r="C6" s="138">
        <v>46270</v>
      </c>
      <c r="D6" s="139" t="s">
        <v>197</v>
      </c>
      <c r="E6" s="125"/>
      <c r="F6" s="125"/>
      <c r="G6" s="140">
        <f>SUM(G2:G5)</f>
        <v>15</v>
      </c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</row>
    <row r="7" spans="1:26" ht="12.75" customHeight="1">
      <c r="A7" s="122"/>
      <c r="B7" s="141"/>
      <c r="C7" s="142"/>
      <c r="D7" s="139" t="s">
        <v>138</v>
      </c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</row>
    <row r="8" spans="1:26" ht="12.75" customHeight="1">
      <c r="A8" s="122">
        <v>2</v>
      </c>
      <c r="B8" s="137">
        <v>2</v>
      </c>
      <c r="C8" s="142">
        <v>45907</v>
      </c>
      <c r="D8" s="139" t="s">
        <v>198</v>
      </c>
      <c r="E8" s="125"/>
      <c r="G8" s="143" t="s">
        <v>199</v>
      </c>
      <c r="H8" s="144" t="s">
        <v>200</v>
      </c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</row>
    <row r="9" spans="1:26" ht="12.75" customHeight="1">
      <c r="A9" s="122"/>
      <c r="B9" s="141"/>
      <c r="C9" s="142"/>
      <c r="D9" s="139" t="s">
        <v>201</v>
      </c>
      <c r="E9" s="125"/>
      <c r="F9" s="136" t="s">
        <v>202</v>
      </c>
      <c r="G9" s="145">
        <v>46307</v>
      </c>
      <c r="H9" s="146">
        <v>46310</v>
      </c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</row>
    <row r="10" spans="1:26" ht="12.75" customHeight="1">
      <c r="A10" s="122">
        <v>3</v>
      </c>
      <c r="B10" s="137">
        <v>3</v>
      </c>
      <c r="C10" s="142">
        <v>45912</v>
      </c>
      <c r="D10" s="147" t="s">
        <v>203</v>
      </c>
      <c r="E10" s="125"/>
      <c r="F10" s="136" t="s">
        <v>204</v>
      </c>
      <c r="G10" s="146">
        <v>46314</v>
      </c>
      <c r="H10" s="146">
        <v>46317</v>
      </c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</row>
    <row r="11" spans="1:26" ht="12.75" customHeight="1">
      <c r="A11" s="122"/>
      <c r="B11" s="141"/>
      <c r="C11" s="142"/>
      <c r="D11" s="139" t="s">
        <v>205</v>
      </c>
      <c r="E11" s="125"/>
      <c r="F11" s="136" t="s">
        <v>206</v>
      </c>
      <c r="G11" s="146">
        <v>46321</v>
      </c>
      <c r="H11" s="146">
        <v>46324</v>
      </c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</row>
    <row r="12" spans="1:26" ht="14.25" customHeight="1">
      <c r="A12" s="122">
        <v>4</v>
      </c>
      <c r="B12" s="148">
        <v>4</v>
      </c>
      <c r="C12" s="149">
        <v>45914</v>
      </c>
      <c r="D12" s="150" t="s">
        <v>207</v>
      </c>
      <c r="E12" s="125"/>
      <c r="F12" s="136" t="s">
        <v>208</v>
      </c>
      <c r="G12" s="146">
        <v>46328</v>
      </c>
      <c r="H12" s="151">
        <v>46331</v>
      </c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</row>
    <row r="13" spans="1:26" ht="12.75" customHeight="1">
      <c r="A13" s="122"/>
      <c r="B13" s="141"/>
      <c r="C13" s="142"/>
      <c r="D13" s="139" t="s">
        <v>209</v>
      </c>
      <c r="E13" s="125"/>
      <c r="F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</row>
    <row r="14" spans="1:26" ht="12.75" customHeight="1">
      <c r="A14" s="122">
        <v>5</v>
      </c>
      <c r="B14" s="152">
        <v>17</v>
      </c>
      <c r="C14" s="153">
        <v>45919</v>
      </c>
      <c r="D14" s="154" t="s">
        <v>210</v>
      </c>
      <c r="E14" s="125"/>
      <c r="F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</row>
    <row r="15" spans="1:26" ht="12.75" customHeight="1">
      <c r="A15" s="122"/>
      <c r="B15" s="141"/>
      <c r="C15" s="142"/>
      <c r="D15" s="154" t="s">
        <v>211</v>
      </c>
      <c r="E15" s="125"/>
      <c r="F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</row>
    <row r="16" spans="1:26" ht="12.75" customHeight="1">
      <c r="A16" s="122">
        <v>6</v>
      </c>
      <c r="B16" s="137">
        <v>5</v>
      </c>
      <c r="C16" s="142">
        <v>45921</v>
      </c>
      <c r="D16" s="139" t="s">
        <v>212</v>
      </c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</row>
    <row r="17" spans="1:26" ht="12.75" customHeight="1">
      <c r="A17" s="155"/>
      <c r="B17" s="156"/>
      <c r="C17" s="142"/>
      <c r="D17" s="139" t="s">
        <v>140</v>
      </c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</row>
    <row r="18" spans="1:26" ht="12.75" customHeight="1">
      <c r="A18" s="122">
        <v>7</v>
      </c>
      <c r="B18" s="137">
        <v>6</v>
      </c>
      <c r="C18" s="138">
        <v>45923</v>
      </c>
      <c r="D18" s="139" t="s">
        <v>212</v>
      </c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</row>
    <row r="19" spans="1:26" ht="12.75" customHeight="1">
      <c r="A19" s="122"/>
      <c r="B19" s="141"/>
      <c r="C19" s="142"/>
      <c r="D19" s="139" t="s">
        <v>140</v>
      </c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</row>
    <row r="20" spans="1:26" ht="12.75" customHeight="1">
      <c r="A20" s="122">
        <v>8</v>
      </c>
      <c r="B20" s="157">
        <v>7</v>
      </c>
      <c r="C20" s="138">
        <v>45956</v>
      </c>
      <c r="D20" s="139" t="s">
        <v>213</v>
      </c>
      <c r="E20" s="158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</row>
    <row r="21" spans="1:26" ht="12.75" customHeight="1">
      <c r="A21" s="122"/>
      <c r="B21" s="141"/>
      <c r="C21" s="142"/>
      <c r="D21" s="139" t="s">
        <v>158</v>
      </c>
      <c r="E21" s="125"/>
      <c r="F21" s="125"/>
      <c r="G21" s="125"/>
      <c r="H21" s="125"/>
      <c r="I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</row>
    <row r="22" spans="1:26" ht="12.75" customHeight="1">
      <c r="A22" s="122">
        <v>9</v>
      </c>
      <c r="B22" s="157">
        <v>8</v>
      </c>
      <c r="C22" s="138">
        <v>45933</v>
      </c>
      <c r="D22" s="139" t="s">
        <v>214</v>
      </c>
      <c r="E22" s="125"/>
      <c r="F22" s="125"/>
      <c r="G22" s="125"/>
      <c r="H22" s="125"/>
      <c r="I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</row>
    <row r="23" spans="1:26" ht="12.75" customHeight="1">
      <c r="A23" s="122"/>
      <c r="B23" s="141"/>
      <c r="C23" s="142"/>
      <c r="D23" s="139" t="s">
        <v>177</v>
      </c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</row>
    <row r="24" spans="1:26" ht="15" customHeight="1">
      <c r="A24" s="122">
        <v>10</v>
      </c>
      <c r="B24" s="148">
        <v>9</v>
      </c>
      <c r="C24" s="159">
        <v>45935</v>
      </c>
      <c r="D24" s="139" t="s">
        <v>215</v>
      </c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</row>
    <row r="25" spans="1:26" ht="27.75" customHeight="1">
      <c r="A25" s="122"/>
      <c r="B25" s="141"/>
      <c r="C25" s="142"/>
      <c r="D25" s="160" t="s">
        <v>216</v>
      </c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</row>
    <row r="26" spans="1:26" ht="12.75" customHeight="1">
      <c r="A26" s="122">
        <v>11</v>
      </c>
      <c r="B26" s="137">
        <v>10</v>
      </c>
      <c r="C26" s="138">
        <v>45935</v>
      </c>
      <c r="D26" s="139" t="s">
        <v>217</v>
      </c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</row>
    <row r="27" spans="1:26" ht="12.75" customHeight="1">
      <c r="A27" s="122"/>
      <c r="B27" s="141"/>
      <c r="C27" s="142"/>
      <c r="D27" s="139" t="s">
        <v>141</v>
      </c>
      <c r="E27" s="125"/>
      <c r="F27" s="126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</row>
    <row r="28" spans="1:26" ht="12.75" customHeight="1">
      <c r="A28" s="122">
        <v>12</v>
      </c>
      <c r="B28" s="137">
        <v>11</v>
      </c>
      <c r="C28" s="138">
        <v>45940</v>
      </c>
      <c r="D28" s="139" t="s">
        <v>218</v>
      </c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</row>
    <row r="29" spans="1:26" ht="13.5" customHeight="1">
      <c r="A29" s="122"/>
      <c r="B29" s="141"/>
      <c r="C29" s="142"/>
      <c r="D29" s="139" t="s">
        <v>160</v>
      </c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</row>
    <row r="30" spans="1:26" ht="12.75" customHeight="1">
      <c r="A30" s="122">
        <v>13</v>
      </c>
      <c r="B30" s="161">
        <v>24</v>
      </c>
      <c r="C30" s="162" t="s">
        <v>219</v>
      </c>
      <c r="D30" s="163" t="s">
        <v>220</v>
      </c>
      <c r="E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</row>
    <row r="31" spans="1:26" ht="12.75" customHeight="1">
      <c r="A31" s="155"/>
      <c r="B31" s="156"/>
      <c r="C31" s="164">
        <v>46310</v>
      </c>
      <c r="D31" s="163" t="s">
        <v>221</v>
      </c>
      <c r="E31" s="125"/>
      <c r="F31" s="125"/>
      <c r="G31" s="125"/>
      <c r="H31" s="125"/>
      <c r="I31" s="16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</row>
    <row r="32" spans="1:26" ht="12.75" customHeight="1">
      <c r="A32" s="122">
        <v>14</v>
      </c>
      <c r="B32" s="166">
        <v>18</v>
      </c>
      <c r="C32" s="167">
        <v>45947</v>
      </c>
      <c r="D32" s="168" t="s">
        <v>222</v>
      </c>
      <c r="E32" s="125"/>
      <c r="G32" s="16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</row>
    <row r="33" spans="1:26" ht="12.75" customHeight="1">
      <c r="A33" s="122"/>
      <c r="B33" s="141"/>
      <c r="C33" s="142"/>
      <c r="D33" s="169" t="s">
        <v>223</v>
      </c>
      <c r="E33" s="125"/>
      <c r="F33" s="125"/>
      <c r="G33" s="16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</row>
    <row r="34" spans="1:26" ht="12.75" customHeight="1">
      <c r="A34" s="122">
        <v>15</v>
      </c>
      <c r="B34" s="170">
        <v>25</v>
      </c>
      <c r="C34" s="164">
        <v>45949</v>
      </c>
      <c r="D34" s="171" t="s">
        <v>224</v>
      </c>
      <c r="E34" s="125"/>
      <c r="F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</row>
    <row r="35" spans="1:26" ht="12.75" customHeight="1">
      <c r="A35" s="122"/>
      <c r="B35" s="141"/>
      <c r="C35" s="164">
        <v>46317</v>
      </c>
      <c r="D35" s="171" t="s">
        <v>225</v>
      </c>
      <c r="E35" s="125"/>
      <c r="F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</row>
    <row r="36" spans="1:26" ht="12.75" customHeight="1">
      <c r="A36" s="122">
        <v>16</v>
      </c>
      <c r="B36" s="166">
        <v>19</v>
      </c>
      <c r="C36" s="167">
        <v>45954</v>
      </c>
      <c r="D36" s="172" t="s">
        <v>226</v>
      </c>
      <c r="E36" s="125"/>
      <c r="F36" s="125"/>
      <c r="G36" s="173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</row>
    <row r="37" spans="1:26" ht="12.75" customHeight="1">
      <c r="A37" s="122"/>
      <c r="B37" s="141"/>
      <c r="C37" s="142"/>
      <c r="D37" s="172" t="s">
        <v>227</v>
      </c>
      <c r="E37" s="125"/>
      <c r="F37" s="125"/>
      <c r="G37" s="174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</row>
    <row r="38" spans="1:26" ht="12.75" customHeight="1">
      <c r="A38" s="122">
        <v>17</v>
      </c>
      <c r="B38" s="161">
        <v>26</v>
      </c>
      <c r="C38" s="164">
        <v>45956</v>
      </c>
      <c r="D38" s="175" t="s">
        <v>228</v>
      </c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</row>
    <row r="39" spans="1:26" ht="13.5" customHeight="1">
      <c r="A39" s="122"/>
      <c r="B39" s="141"/>
      <c r="C39" s="164">
        <v>46324</v>
      </c>
      <c r="D39" s="176" t="s">
        <v>229</v>
      </c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</row>
    <row r="40" spans="1:26" ht="12.75" customHeight="1">
      <c r="A40" s="122">
        <v>18</v>
      </c>
      <c r="B40" s="177">
        <v>12</v>
      </c>
      <c r="C40" s="159">
        <v>45961</v>
      </c>
      <c r="D40" s="178" t="s">
        <v>230</v>
      </c>
      <c r="E40" s="179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</row>
    <row r="41" spans="1:26" ht="12.75" customHeight="1">
      <c r="A41" s="122"/>
      <c r="B41" s="180"/>
      <c r="C41" s="142"/>
      <c r="D41" s="181" t="s">
        <v>231</v>
      </c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</row>
    <row r="42" spans="1:26" ht="12.75" customHeight="1">
      <c r="A42" s="122">
        <v>19</v>
      </c>
      <c r="B42" s="161">
        <v>27</v>
      </c>
      <c r="C42" s="164">
        <v>45963</v>
      </c>
      <c r="D42" s="182" t="s">
        <v>232</v>
      </c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</row>
    <row r="43" spans="1:26" ht="12.75" customHeight="1">
      <c r="A43" s="122"/>
      <c r="B43" s="180"/>
      <c r="C43" s="164">
        <v>46331</v>
      </c>
      <c r="D43" s="183" t="s">
        <v>233</v>
      </c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</row>
    <row r="44" spans="1:26" ht="12.75" customHeight="1">
      <c r="A44" s="122">
        <v>20</v>
      </c>
      <c r="B44" s="157">
        <v>13</v>
      </c>
      <c r="C44" s="138">
        <v>45968</v>
      </c>
      <c r="D44" s="184" t="s">
        <v>234</v>
      </c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</row>
    <row r="45" spans="1:26" ht="12.75" customHeight="1">
      <c r="A45" s="122"/>
      <c r="B45" s="141"/>
      <c r="C45" s="142"/>
      <c r="D45" s="184" t="s">
        <v>235</v>
      </c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</row>
    <row r="46" spans="1:26" ht="12.75" customHeight="1">
      <c r="A46" s="122">
        <v>21</v>
      </c>
      <c r="B46" s="157">
        <v>14</v>
      </c>
      <c r="C46" s="138">
        <v>45970</v>
      </c>
      <c r="D46" s="185" t="s">
        <v>236</v>
      </c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</row>
    <row r="47" spans="1:26" ht="12.75" customHeight="1">
      <c r="A47" s="122"/>
      <c r="B47" s="141"/>
      <c r="C47" s="142"/>
      <c r="D47" s="186" t="s">
        <v>237</v>
      </c>
      <c r="E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</row>
    <row r="48" spans="1:26" ht="12.75" customHeight="1">
      <c r="A48" s="122">
        <v>22</v>
      </c>
      <c r="B48" s="187">
        <v>20</v>
      </c>
      <c r="C48" s="167">
        <v>45975</v>
      </c>
      <c r="D48" s="188" t="s">
        <v>238</v>
      </c>
      <c r="E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</row>
    <row r="49" spans="1:26" ht="12.75" customHeight="1">
      <c r="A49" s="122"/>
      <c r="B49" s="141"/>
      <c r="C49" s="142"/>
      <c r="D49" s="188" t="s">
        <v>239</v>
      </c>
      <c r="E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</row>
    <row r="50" spans="1:26" ht="12.75" customHeight="1">
      <c r="A50" s="122">
        <v>23</v>
      </c>
      <c r="B50" s="137">
        <v>15</v>
      </c>
      <c r="C50" s="138">
        <v>45977</v>
      </c>
      <c r="D50" s="139" t="s">
        <v>240</v>
      </c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</row>
    <row r="51" spans="1:26" ht="12.75" customHeight="1">
      <c r="A51" s="122"/>
      <c r="B51" s="141"/>
      <c r="C51" s="142"/>
      <c r="D51" s="189" t="s">
        <v>163</v>
      </c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</row>
    <row r="52" spans="1:26" ht="12.75" customHeight="1">
      <c r="A52" s="122">
        <v>24</v>
      </c>
      <c r="B52" s="187">
        <v>21</v>
      </c>
      <c r="C52" s="167">
        <v>45982</v>
      </c>
      <c r="D52" s="190" t="s">
        <v>241</v>
      </c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</row>
    <row r="53" spans="1:26" ht="15.75" customHeight="1">
      <c r="A53" s="122"/>
      <c r="B53" s="141"/>
      <c r="C53" s="142"/>
      <c r="D53" s="154" t="s">
        <v>242</v>
      </c>
      <c r="E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</row>
    <row r="54" spans="1:26" ht="12.75" customHeight="1">
      <c r="A54" s="122">
        <v>25</v>
      </c>
      <c r="B54" s="187">
        <v>22</v>
      </c>
      <c r="C54" s="167">
        <v>45984</v>
      </c>
      <c r="D54" s="168" t="s">
        <v>243</v>
      </c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</row>
    <row r="55" spans="1:26" ht="12.75" customHeight="1">
      <c r="A55" s="122"/>
      <c r="B55" s="141"/>
      <c r="C55" s="142"/>
      <c r="D55" s="188" t="s">
        <v>244</v>
      </c>
      <c r="E55" s="125"/>
      <c r="F55" s="16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</row>
    <row r="56" spans="1:26" ht="12.75" customHeight="1">
      <c r="A56" s="122">
        <v>26</v>
      </c>
      <c r="B56" s="148">
        <v>16</v>
      </c>
      <c r="C56" s="159">
        <v>45989</v>
      </c>
      <c r="D56" s="139" t="s">
        <v>245</v>
      </c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</row>
    <row r="57" spans="1:26" ht="12.75" customHeight="1">
      <c r="A57" s="122"/>
      <c r="B57" s="141"/>
      <c r="C57" s="142"/>
      <c r="D57" s="191" t="s">
        <v>246</v>
      </c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</row>
    <row r="58" spans="1:26" ht="12.75" customHeight="1">
      <c r="A58" s="122">
        <v>27</v>
      </c>
      <c r="B58" s="157">
        <v>28</v>
      </c>
      <c r="C58" s="138">
        <v>45991</v>
      </c>
      <c r="D58" s="139" t="s">
        <v>245</v>
      </c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</row>
    <row r="59" spans="1:26" ht="12.75" customHeight="1">
      <c r="A59" s="122"/>
      <c r="B59" s="141"/>
      <c r="C59" s="142"/>
      <c r="D59" s="139" t="s">
        <v>245</v>
      </c>
      <c r="E59" s="125"/>
      <c r="F59" s="192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</row>
    <row r="60" spans="1:26" ht="12.75" customHeight="1">
      <c r="A60" s="122">
        <v>28</v>
      </c>
      <c r="B60" s="187">
        <v>23</v>
      </c>
      <c r="C60" s="167">
        <v>45996</v>
      </c>
      <c r="D60" s="168" t="s">
        <v>247</v>
      </c>
      <c r="E60" s="125"/>
      <c r="F60" s="193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</row>
    <row r="61" spans="1:26" ht="12.75" customHeight="1">
      <c r="A61" s="122"/>
      <c r="B61" s="141"/>
      <c r="C61" s="142"/>
      <c r="D61" s="194" t="s">
        <v>248</v>
      </c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2.75" customHeight="1">
      <c r="A62" s="122">
        <v>29</v>
      </c>
      <c r="B62" s="157">
        <v>29</v>
      </c>
      <c r="C62" s="138">
        <v>45998</v>
      </c>
      <c r="D62" s="186" t="s">
        <v>249</v>
      </c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</row>
    <row r="63" spans="1:26" ht="12.75" customHeight="1">
      <c r="A63" s="122"/>
      <c r="B63" s="195"/>
      <c r="C63" s="142"/>
      <c r="D63" s="185" t="s">
        <v>250</v>
      </c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</row>
    <row r="64" spans="1:26" ht="12.75" customHeight="1">
      <c r="A64" s="122">
        <v>30</v>
      </c>
      <c r="B64" s="157">
        <v>30</v>
      </c>
      <c r="C64" s="138">
        <v>46003</v>
      </c>
      <c r="D64" s="196" t="s">
        <v>251</v>
      </c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</row>
    <row r="65" spans="1:26" ht="12.75" customHeight="1">
      <c r="A65" s="122"/>
      <c r="B65" s="141"/>
      <c r="C65" s="142"/>
      <c r="D65" s="139" t="s">
        <v>179</v>
      </c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</row>
    <row r="66" spans="1:26" ht="12" customHeight="1">
      <c r="A66" s="122">
        <v>31</v>
      </c>
      <c r="B66" s="157">
        <v>31</v>
      </c>
      <c r="C66" s="138">
        <v>46005</v>
      </c>
      <c r="D66" s="184" t="s">
        <v>252</v>
      </c>
      <c r="E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</row>
    <row r="67" spans="1:26" ht="14.25" customHeight="1">
      <c r="A67" s="122"/>
      <c r="B67" s="141"/>
      <c r="C67" s="142"/>
      <c r="D67" s="184" t="s">
        <v>252</v>
      </c>
      <c r="E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</row>
    <row r="68" spans="1:26" ht="14.25" customHeight="1">
      <c r="A68" s="122">
        <v>32</v>
      </c>
      <c r="B68" s="157">
        <v>32</v>
      </c>
      <c r="C68" s="138">
        <v>46010</v>
      </c>
      <c r="D68" s="186" t="s">
        <v>253</v>
      </c>
      <c r="E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</row>
    <row r="69" spans="1:26" ht="15" customHeight="1">
      <c r="A69" s="122"/>
      <c r="B69" s="141"/>
      <c r="C69" s="142"/>
      <c r="D69" s="186" t="s">
        <v>253</v>
      </c>
      <c r="E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</row>
    <row r="70" spans="1:26" ht="12.75" customHeight="1">
      <c r="A70" s="122">
        <v>33</v>
      </c>
      <c r="B70" s="177">
        <v>33</v>
      </c>
      <c r="C70" s="159">
        <v>46377</v>
      </c>
      <c r="D70" s="197" t="s">
        <v>254</v>
      </c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</row>
    <row r="71" spans="1:26" ht="12.75" customHeight="1">
      <c r="A71" s="122"/>
      <c r="B71" s="141"/>
      <c r="C71" s="142"/>
      <c r="D71" s="197" t="s">
        <v>255</v>
      </c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</row>
    <row r="72" spans="1:26" ht="12.75" customHeight="1">
      <c r="A72" s="122"/>
      <c r="B72" s="123"/>
      <c r="C72" s="198"/>
      <c r="D72" s="198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</row>
    <row r="73" spans="1:26" ht="12.75" customHeight="1">
      <c r="A73" s="122"/>
      <c r="B73" s="123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</row>
    <row r="74" spans="1:26" ht="12.75" customHeight="1">
      <c r="A74" s="122"/>
      <c r="B74" s="123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</row>
    <row r="75" spans="1:26" ht="12.75" customHeight="1">
      <c r="A75" s="122"/>
      <c r="B75" s="123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</row>
    <row r="76" spans="1:26" ht="12.75" customHeight="1">
      <c r="A76" s="122"/>
      <c r="B76" s="123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</row>
    <row r="77" spans="1:26" ht="12.75" customHeight="1">
      <c r="A77" s="122"/>
      <c r="B77" s="123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</row>
    <row r="78" spans="1:26" ht="12.75" customHeight="1">
      <c r="A78" s="122"/>
      <c r="B78" s="123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</row>
    <row r="79" spans="1:26" ht="12.75" customHeight="1">
      <c r="A79" s="122"/>
      <c r="B79" s="123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</row>
    <row r="80" spans="1:26" ht="12.75" customHeight="1">
      <c r="A80" s="122"/>
      <c r="B80" s="123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</row>
    <row r="81" spans="1:26" ht="12.75" customHeight="1">
      <c r="A81" s="122"/>
      <c r="B81" s="123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</row>
    <row r="82" spans="1:26" ht="12.75" customHeight="1">
      <c r="A82" s="122"/>
      <c r="B82" s="123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</row>
    <row r="83" spans="1:26" ht="12.75" customHeight="1">
      <c r="A83" s="122"/>
      <c r="B83" s="123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</row>
    <row r="84" spans="1:26" ht="12.75" customHeight="1">
      <c r="A84" s="122"/>
      <c r="B84" s="123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</row>
    <row r="85" spans="1:26" ht="12.75" customHeight="1">
      <c r="A85" s="122"/>
      <c r="B85" s="123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</row>
    <row r="86" spans="1:26" ht="12.75" customHeight="1">
      <c r="A86" s="122"/>
      <c r="B86" s="123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</row>
    <row r="87" spans="1:26" ht="12.75" customHeight="1">
      <c r="A87" s="122"/>
      <c r="B87" s="123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</row>
    <row r="88" spans="1:26" ht="12.75" customHeight="1">
      <c r="A88" s="122"/>
      <c r="B88" s="123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</row>
    <row r="89" spans="1:26" ht="12.75" customHeight="1">
      <c r="A89" s="122"/>
      <c r="B89" s="123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</row>
    <row r="90" spans="1:26" ht="12.75" customHeight="1">
      <c r="A90" s="122"/>
      <c r="B90" s="123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</row>
    <row r="91" spans="1:26" ht="12.75" customHeight="1">
      <c r="A91" s="122"/>
      <c r="B91" s="123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</row>
    <row r="92" spans="1:26" ht="12.75" customHeight="1">
      <c r="A92" s="122"/>
      <c r="B92" s="123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</row>
    <row r="93" spans="1:26" ht="12.75" customHeight="1">
      <c r="A93" s="122"/>
      <c r="B93" s="123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</row>
    <row r="94" spans="1:26" ht="12.75" customHeight="1">
      <c r="A94" s="122"/>
      <c r="B94" s="123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</row>
    <row r="95" spans="1:26" ht="12.75" customHeight="1">
      <c r="A95" s="122"/>
      <c r="B95" s="123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</row>
    <row r="96" spans="1:26" ht="12.75" customHeight="1">
      <c r="A96" s="122"/>
      <c r="B96" s="123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</row>
    <row r="97" spans="1:26" ht="12.75" customHeight="1">
      <c r="A97" s="122"/>
      <c r="B97" s="123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</row>
    <row r="98" spans="1:26" ht="12.75" customHeight="1">
      <c r="A98" s="122"/>
      <c r="B98" s="123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</row>
    <row r="99" spans="1:26" ht="12.75" customHeight="1">
      <c r="A99" s="122"/>
      <c r="B99" s="123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</row>
    <row r="100" spans="1:26" ht="12.75" customHeight="1">
      <c r="A100" s="122"/>
      <c r="B100" s="123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</row>
    <row r="101" spans="1:26" ht="12.75" customHeight="1">
      <c r="A101" s="122"/>
      <c r="B101" s="123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</row>
    <row r="102" spans="1:26" ht="12.75" customHeight="1">
      <c r="A102" s="122"/>
      <c r="B102" s="123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</row>
    <row r="103" spans="1:26" ht="12.75" customHeight="1">
      <c r="A103" s="122"/>
      <c r="B103" s="123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</row>
    <row r="104" spans="1:26" ht="12.75" customHeight="1">
      <c r="A104" s="122"/>
      <c r="B104" s="123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</row>
    <row r="105" spans="1:26" ht="12.75" customHeight="1">
      <c r="A105" s="122"/>
      <c r="B105" s="123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</row>
    <row r="106" spans="1:26" ht="12.75" customHeight="1">
      <c r="A106" s="122"/>
      <c r="B106" s="123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</row>
    <row r="107" spans="1:26" ht="12.75" customHeight="1">
      <c r="A107" s="122"/>
      <c r="B107" s="123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</row>
    <row r="108" spans="1:26" ht="12.75" customHeight="1">
      <c r="A108" s="122"/>
      <c r="B108" s="123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</row>
    <row r="109" spans="1:26" ht="12.75" customHeight="1">
      <c r="A109" s="122"/>
      <c r="B109" s="123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</row>
    <row r="110" spans="1:26" ht="12.75" customHeight="1">
      <c r="A110" s="122"/>
      <c r="B110" s="123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</row>
    <row r="111" spans="1:26" ht="12.75" customHeight="1">
      <c r="A111" s="122"/>
      <c r="B111" s="123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</row>
    <row r="112" spans="1:26" ht="12.75" customHeight="1">
      <c r="A112" s="122"/>
      <c r="B112" s="123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</row>
    <row r="113" spans="1:26" ht="12.75" customHeight="1">
      <c r="A113" s="122"/>
      <c r="B113" s="123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</row>
    <row r="114" spans="1:26" ht="12.75" customHeight="1">
      <c r="A114" s="122"/>
      <c r="B114" s="123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</row>
    <row r="115" spans="1:26" ht="12.75" customHeight="1">
      <c r="A115" s="122"/>
      <c r="B115" s="123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</row>
    <row r="116" spans="1:26" ht="12.75" customHeight="1">
      <c r="A116" s="122"/>
      <c r="B116" s="123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</row>
    <row r="117" spans="1:26" ht="12.75" customHeight="1">
      <c r="A117" s="122"/>
      <c r="B117" s="123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</row>
    <row r="118" spans="1:26" ht="12.75" customHeight="1">
      <c r="A118" s="122"/>
      <c r="B118" s="123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</row>
    <row r="119" spans="1:26" ht="12.75" customHeight="1">
      <c r="A119" s="122"/>
      <c r="B119" s="123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</row>
    <row r="120" spans="1:26" ht="12.75" customHeight="1">
      <c r="A120" s="122"/>
      <c r="B120" s="123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</row>
    <row r="121" spans="1:26" ht="12.75" customHeight="1">
      <c r="A121" s="122"/>
      <c r="B121" s="123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</row>
    <row r="122" spans="1:26" ht="12.75" customHeight="1">
      <c r="A122" s="122"/>
      <c r="B122" s="123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</row>
    <row r="123" spans="1:26" ht="12.75" customHeight="1">
      <c r="A123" s="122"/>
      <c r="B123" s="123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</row>
    <row r="124" spans="1:26" ht="12.75" customHeight="1">
      <c r="A124" s="122"/>
      <c r="B124" s="123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</row>
    <row r="125" spans="1:26" ht="12.75" customHeight="1">
      <c r="A125" s="122"/>
      <c r="B125" s="123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</row>
    <row r="126" spans="1:26" ht="12.75" customHeight="1">
      <c r="A126" s="122"/>
      <c r="B126" s="123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</row>
    <row r="127" spans="1:26" ht="12.75" customHeight="1">
      <c r="A127" s="122"/>
      <c r="B127" s="123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</row>
    <row r="128" spans="1:26" ht="12.75" customHeight="1">
      <c r="A128" s="122"/>
      <c r="B128" s="123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</row>
    <row r="129" spans="1:26" ht="12.75" customHeight="1">
      <c r="A129" s="122"/>
      <c r="B129" s="123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</row>
    <row r="130" spans="1:26" ht="12.75" customHeight="1">
      <c r="A130" s="122"/>
      <c r="B130" s="123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</row>
    <row r="131" spans="1:26" ht="12.75" customHeight="1">
      <c r="A131" s="122"/>
      <c r="B131" s="123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</row>
    <row r="132" spans="1:26" ht="12.75" customHeight="1">
      <c r="A132" s="122"/>
      <c r="B132" s="123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</row>
    <row r="133" spans="1:26" ht="12.75" customHeight="1">
      <c r="A133" s="122"/>
      <c r="B133" s="123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</row>
    <row r="134" spans="1:26" ht="12.75" customHeight="1">
      <c r="A134" s="122"/>
      <c r="B134" s="123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</row>
    <row r="135" spans="1:26" ht="12.75" customHeight="1">
      <c r="A135" s="122"/>
      <c r="B135" s="123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</row>
    <row r="136" spans="1:26" ht="12.75" customHeight="1">
      <c r="A136" s="122"/>
      <c r="B136" s="123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</row>
    <row r="137" spans="1:26" ht="12.75" customHeight="1">
      <c r="A137" s="122"/>
      <c r="B137" s="123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</row>
    <row r="138" spans="1:26" ht="12.75" customHeight="1">
      <c r="A138" s="122"/>
      <c r="B138" s="123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</row>
    <row r="139" spans="1:26" ht="12.75" customHeight="1">
      <c r="A139" s="122"/>
      <c r="B139" s="123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</row>
    <row r="140" spans="1:26" ht="12.75" customHeight="1">
      <c r="A140" s="122"/>
      <c r="B140" s="123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</row>
    <row r="141" spans="1:26" ht="12.75" customHeight="1">
      <c r="A141" s="122"/>
      <c r="B141" s="123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</row>
    <row r="142" spans="1:26" ht="12.75" customHeight="1">
      <c r="A142" s="122"/>
      <c r="B142" s="123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</row>
    <row r="143" spans="1:26" ht="12.75" customHeight="1">
      <c r="A143" s="122"/>
      <c r="B143" s="123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</row>
    <row r="144" spans="1:26" ht="12.75" customHeight="1">
      <c r="A144" s="122"/>
      <c r="B144" s="123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</row>
    <row r="145" spans="1:26" ht="12.75" customHeight="1">
      <c r="A145" s="122"/>
      <c r="B145" s="123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</row>
    <row r="146" spans="1:26" ht="12.75" customHeight="1">
      <c r="A146" s="122"/>
      <c r="B146" s="123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</row>
    <row r="147" spans="1:26" ht="12.75" customHeight="1">
      <c r="A147" s="122"/>
      <c r="B147" s="123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</row>
    <row r="148" spans="1:26" ht="12.75" customHeight="1">
      <c r="A148" s="122"/>
      <c r="B148" s="123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</row>
    <row r="149" spans="1:26" ht="12.75" customHeight="1">
      <c r="A149" s="122"/>
      <c r="B149" s="123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</row>
    <row r="150" spans="1:26" ht="12.75" customHeight="1">
      <c r="A150" s="122"/>
      <c r="B150" s="123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</row>
    <row r="151" spans="1:26" ht="12.75" customHeight="1">
      <c r="A151" s="122"/>
      <c r="B151" s="123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</row>
    <row r="152" spans="1:26" ht="12.75" customHeight="1">
      <c r="A152" s="122"/>
      <c r="B152" s="123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</row>
    <row r="153" spans="1:26" ht="12.75" customHeight="1">
      <c r="A153" s="122"/>
      <c r="B153" s="123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</row>
    <row r="154" spans="1:26" ht="12.75" customHeight="1">
      <c r="A154" s="122"/>
      <c r="B154" s="123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</row>
    <row r="155" spans="1:26" ht="12.75" customHeight="1">
      <c r="A155" s="122"/>
      <c r="B155" s="123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</row>
    <row r="156" spans="1:26" ht="12.75" customHeight="1">
      <c r="A156" s="122"/>
      <c r="B156" s="123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</row>
    <row r="157" spans="1:26" ht="12.75" customHeight="1">
      <c r="A157" s="122"/>
      <c r="B157" s="123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</row>
    <row r="158" spans="1:26" ht="12.75" customHeight="1">
      <c r="A158" s="122"/>
      <c r="B158" s="123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</row>
    <row r="159" spans="1:26" ht="12.75" customHeight="1">
      <c r="A159" s="122"/>
      <c r="B159" s="123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</row>
    <row r="160" spans="1:26" ht="12.75" customHeight="1">
      <c r="A160" s="122"/>
      <c r="B160" s="123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</row>
    <row r="161" spans="1:26" ht="12.75" customHeight="1">
      <c r="A161" s="122"/>
      <c r="B161" s="123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</row>
    <row r="162" spans="1:26" ht="12.75" customHeight="1">
      <c r="A162" s="122"/>
      <c r="B162" s="123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</row>
    <row r="163" spans="1:26" ht="12.75" customHeight="1">
      <c r="A163" s="122"/>
      <c r="B163" s="123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</row>
    <row r="164" spans="1:26" ht="12.75" customHeight="1">
      <c r="A164" s="122"/>
      <c r="B164" s="123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</row>
    <row r="165" spans="1:26" ht="12.75" customHeight="1">
      <c r="A165" s="122"/>
      <c r="B165" s="123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</row>
    <row r="166" spans="1:26" ht="12.75" customHeight="1">
      <c r="A166" s="122"/>
      <c r="B166" s="123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</row>
    <row r="167" spans="1:26" ht="12.75" customHeight="1">
      <c r="A167" s="122"/>
      <c r="B167" s="123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</row>
    <row r="168" spans="1:26" ht="12.75" customHeight="1">
      <c r="A168" s="122"/>
      <c r="B168" s="123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</row>
    <row r="169" spans="1:26" ht="12.75" customHeight="1">
      <c r="A169" s="122"/>
      <c r="B169" s="123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</row>
    <row r="170" spans="1:26" ht="12.75" customHeight="1">
      <c r="A170" s="122"/>
      <c r="B170" s="123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</row>
    <row r="171" spans="1:26" ht="12.75" customHeight="1">
      <c r="A171" s="122"/>
      <c r="B171" s="123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</row>
    <row r="172" spans="1:26" ht="12.75" customHeight="1">
      <c r="A172" s="122"/>
      <c r="B172" s="123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</row>
    <row r="173" spans="1:26" ht="12.75" customHeight="1">
      <c r="A173" s="122"/>
      <c r="B173" s="123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</row>
    <row r="174" spans="1:26" ht="12.75" customHeight="1">
      <c r="A174" s="122"/>
      <c r="B174" s="123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</row>
    <row r="175" spans="1:26" ht="12.75" customHeight="1">
      <c r="A175" s="122"/>
      <c r="B175" s="123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</row>
    <row r="176" spans="1:26" ht="12.75" customHeight="1">
      <c r="A176" s="122"/>
      <c r="B176" s="123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</row>
    <row r="177" spans="1:26" ht="12.75" customHeight="1">
      <c r="A177" s="122"/>
      <c r="B177" s="123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</row>
    <row r="178" spans="1:26" ht="12.75" customHeight="1">
      <c r="A178" s="122"/>
      <c r="B178" s="123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</row>
    <row r="179" spans="1:26" ht="12.75" customHeight="1">
      <c r="A179" s="122"/>
      <c r="B179" s="123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</row>
    <row r="180" spans="1:26" ht="12.75" customHeight="1">
      <c r="A180" s="122"/>
      <c r="B180" s="123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</row>
    <row r="181" spans="1:26" ht="12.75" customHeight="1">
      <c r="A181" s="122"/>
      <c r="B181" s="123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</row>
    <row r="182" spans="1:26" ht="12.75" customHeight="1">
      <c r="A182" s="122"/>
      <c r="B182" s="123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</row>
    <row r="183" spans="1:26" ht="12.75" customHeight="1">
      <c r="A183" s="122"/>
      <c r="B183" s="123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</row>
    <row r="184" spans="1:26" ht="12.75" customHeight="1">
      <c r="A184" s="122"/>
      <c r="B184" s="123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</row>
    <row r="185" spans="1:26" ht="12.75" customHeight="1">
      <c r="A185" s="122"/>
      <c r="B185" s="123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</row>
    <row r="186" spans="1:26" ht="12.75" customHeight="1">
      <c r="A186" s="122"/>
      <c r="B186" s="123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</row>
    <row r="187" spans="1:26" ht="12.75" customHeight="1">
      <c r="A187" s="122"/>
      <c r="B187" s="123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</row>
    <row r="188" spans="1:26" ht="12.75" customHeight="1">
      <c r="A188" s="122"/>
      <c r="B188" s="123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</row>
    <row r="189" spans="1:26" ht="12.75" customHeight="1">
      <c r="A189" s="122"/>
      <c r="B189" s="123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</row>
    <row r="190" spans="1:26" ht="12.75" customHeight="1">
      <c r="A190" s="122"/>
      <c r="B190" s="123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</row>
    <row r="191" spans="1:26" ht="12.75" customHeight="1">
      <c r="A191" s="122"/>
      <c r="B191" s="123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</row>
    <row r="192" spans="1:26" ht="12.75" customHeight="1">
      <c r="A192" s="122"/>
      <c r="B192" s="123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</row>
    <row r="193" spans="1:26" ht="12.75" customHeight="1">
      <c r="A193" s="122"/>
      <c r="B193" s="123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</row>
    <row r="194" spans="1:26" ht="12.75" customHeight="1">
      <c r="A194" s="122"/>
      <c r="B194" s="123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</row>
    <row r="195" spans="1:26" ht="12.75" customHeight="1">
      <c r="A195" s="122"/>
      <c r="B195" s="123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</row>
    <row r="196" spans="1:26" ht="12.75" customHeight="1">
      <c r="A196" s="122"/>
      <c r="B196" s="123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</row>
    <row r="197" spans="1:26" ht="12.75" customHeight="1">
      <c r="A197" s="122"/>
      <c r="B197" s="123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</row>
    <row r="198" spans="1:26" ht="12.75" customHeight="1">
      <c r="A198" s="122"/>
      <c r="B198" s="123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</row>
    <row r="199" spans="1:26" ht="12.75" customHeight="1">
      <c r="A199" s="122"/>
      <c r="B199" s="123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</row>
    <row r="200" spans="1:26" ht="12.75" customHeight="1">
      <c r="A200" s="122"/>
      <c r="B200" s="123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</row>
    <row r="201" spans="1:26" ht="12.75" customHeight="1">
      <c r="A201" s="122"/>
      <c r="B201" s="123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</row>
    <row r="202" spans="1:26" ht="12.75" customHeight="1">
      <c r="A202" s="122"/>
      <c r="B202" s="123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</row>
    <row r="203" spans="1:26" ht="12.75" customHeight="1">
      <c r="A203" s="122"/>
      <c r="B203" s="123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</row>
    <row r="204" spans="1:26" ht="12.75" customHeight="1">
      <c r="A204" s="122"/>
      <c r="B204" s="123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</row>
    <row r="205" spans="1:26" ht="12.75" customHeight="1">
      <c r="A205" s="122"/>
      <c r="B205" s="123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</row>
    <row r="206" spans="1:26" ht="12.75" customHeight="1">
      <c r="A206" s="122"/>
      <c r="B206" s="123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</row>
    <row r="207" spans="1:26" ht="12.75" customHeight="1">
      <c r="A207" s="122"/>
      <c r="B207" s="123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</row>
    <row r="208" spans="1:26" ht="12.75" customHeight="1">
      <c r="A208" s="122"/>
      <c r="B208" s="123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</row>
    <row r="209" spans="1:26" ht="12.75" customHeight="1">
      <c r="A209" s="122"/>
      <c r="B209" s="123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</row>
    <row r="210" spans="1:26" ht="12.75" customHeight="1">
      <c r="A210" s="122"/>
      <c r="B210" s="123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</row>
    <row r="211" spans="1:26" ht="12.75" customHeight="1">
      <c r="A211" s="122"/>
      <c r="B211" s="123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</row>
    <row r="212" spans="1:26" ht="12.75" customHeight="1">
      <c r="A212" s="122"/>
      <c r="B212" s="123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</row>
    <row r="213" spans="1:26" ht="12.75" customHeight="1">
      <c r="A213" s="122"/>
      <c r="B213" s="123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</row>
    <row r="214" spans="1:26" ht="12.75" customHeight="1">
      <c r="A214" s="122"/>
      <c r="B214" s="123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</row>
    <row r="215" spans="1:26" ht="12.75" customHeight="1">
      <c r="A215" s="122"/>
      <c r="B215" s="123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</row>
    <row r="216" spans="1:26" ht="12.75" customHeight="1">
      <c r="A216" s="122"/>
      <c r="B216" s="123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</row>
    <row r="217" spans="1:26" ht="12.75" customHeight="1">
      <c r="A217" s="122"/>
      <c r="B217" s="123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</row>
    <row r="218" spans="1:26" ht="12.75" customHeight="1">
      <c r="A218" s="122"/>
      <c r="B218" s="123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</row>
    <row r="219" spans="1:26" ht="12.75" customHeight="1">
      <c r="A219" s="122"/>
      <c r="B219" s="123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</row>
    <row r="220" spans="1:26" ht="12.75" customHeight="1">
      <c r="A220" s="122"/>
      <c r="B220" s="123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</row>
    <row r="221" spans="1:26" ht="12.75" customHeight="1">
      <c r="A221" s="122"/>
      <c r="B221" s="123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</row>
    <row r="222" spans="1:26" ht="12.75" customHeight="1">
      <c r="A222" s="122"/>
      <c r="B222" s="123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</row>
    <row r="223" spans="1:26" ht="12.75" customHeight="1">
      <c r="A223" s="122"/>
      <c r="B223" s="123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</row>
    <row r="224" spans="1:26" ht="12.75" customHeight="1">
      <c r="A224" s="122"/>
      <c r="B224" s="123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</row>
    <row r="225" spans="1:26" ht="12.75" customHeight="1">
      <c r="A225" s="122"/>
      <c r="B225" s="123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</row>
    <row r="226" spans="1:26" ht="12.75" customHeight="1">
      <c r="A226" s="122"/>
      <c r="B226" s="123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</row>
    <row r="227" spans="1:26" ht="12.75" customHeight="1">
      <c r="A227" s="122"/>
      <c r="B227" s="123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</row>
    <row r="228" spans="1:26" ht="12.75" customHeight="1">
      <c r="A228" s="122"/>
      <c r="B228" s="123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</row>
    <row r="229" spans="1:26" ht="12.75" customHeight="1">
      <c r="A229" s="122"/>
      <c r="B229" s="123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</row>
    <row r="230" spans="1:26" ht="12.75" customHeight="1">
      <c r="A230" s="122"/>
      <c r="B230" s="123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</row>
    <row r="231" spans="1:26" ht="12.75" customHeight="1">
      <c r="A231" s="122"/>
      <c r="B231" s="123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</row>
    <row r="232" spans="1:26" ht="12.75" customHeight="1">
      <c r="A232" s="122"/>
      <c r="B232" s="123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</row>
    <row r="233" spans="1:26" ht="12.75" customHeight="1">
      <c r="A233" s="122"/>
      <c r="B233" s="123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</row>
    <row r="234" spans="1:26" ht="12.75" customHeight="1">
      <c r="A234" s="122"/>
      <c r="B234" s="123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</row>
    <row r="235" spans="1:26" ht="12.75" customHeight="1">
      <c r="A235" s="122"/>
      <c r="B235" s="123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</row>
    <row r="236" spans="1:26" ht="12.75" customHeight="1">
      <c r="A236" s="122"/>
      <c r="B236" s="123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</row>
    <row r="237" spans="1:26" ht="12.75" customHeight="1">
      <c r="A237" s="122"/>
      <c r="B237" s="123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</row>
    <row r="238" spans="1:26" ht="12.75" customHeight="1">
      <c r="A238" s="122"/>
      <c r="B238" s="123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</row>
    <row r="239" spans="1:26" ht="12.75" customHeight="1">
      <c r="A239" s="122"/>
      <c r="B239" s="123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</row>
    <row r="240" spans="1:26" ht="12.75" customHeight="1">
      <c r="A240" s="122"/>
      <c r="B240" s="123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</row>
    <row r="241" spans="1:26" ht="12.75" customHeight="1">
      <c r="A241" s="122"/>
      <c r="B241" s="123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</row>
    <row r="242" spans="1:26" ht="12.75" customHeight="1">
      <c r="A242" s="122"/>
      <c r="B242" s="123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</row>
    <row r="243" spans="1:26" ht="12.75" customHeight="1">
      <c r="A243" s="122"/>
      <c r="B243" s="123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</row>
    <row r="244" spans="1:26" ht="12.75" customHeight="1">
      <c r="A244" s="122"/>
      <c r="B244" s="123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</row>
    <row r="245" spans="1:26" ht="12.75" customHeight="1">
      <c r="A245" s="122"/>
      <c r="B245" s="123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</row>
    <row r="246" spans="1:26" ht="12.75" customHeight="1">
      <c r="A246" s="122"/>
      <c r="B246" s="123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</row>
    <row r="247" spans="1:26" ht="12.75" customHeight="1">
      <c r="A247" s="122"/>
      <c r="B247" s="123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</row>
    <row r="248" spans="1:26" ht="12.75" customHeight="1">
      <c r="A248" s="122"/>
      <c r="B248" s="123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</row>
    <row r="249" spans="1:26" ht="12.75" customHeight="1">
      <c r="A249" s="122"/>
      <c r="B249" s="123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</row>
    <row r="250" spans="1:26" ht="12.75" customHeight="1">
      <c r="A250" s="122"/>
      <c r="B250" s="123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</row>
    <row r="251" spans="1:26" ht="12.75" customHeight="1">
      <c r="A251" s="122"/>
      <c r="B251" s="123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</row>
    <row r="252" spans="1:26" ht="12.75" customHeight="1">
      <c r="A252" s="122"/>
      <c r="B252" s="123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</row>
    <row r="253" spans="1:26" ht="12.75" customHeight="1">
      <c r="A253" s="122"/>
      <c r="B253" s="123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</row>
    <row r="254" spans="1:26" ht="12.75" customHeight="1">
      <c r="A254" s="122"/>
      <c r="B254" s="123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</row>
    <row r="255" spans="1:26" ht="12.75" customHeight="1">
      <c r="A255" s="122"/>
      <c r="B255" s="123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</row>
    <row r="256" spans="1:26" ht="12.75" customHeight="1">
      <c r="A256" s="122"/>
      <c r="B256" s="123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</row>
    <row r="257" spans="1:26" ht="12.75" customHeight="1">
      <c r="A257" s="122"/>
      <c r="B257" s="123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</row>
    <row r="258" spans="1:26" ht="12.75" customHeight="1">
      <c r="A258" s="122"/>
      <c r="B258" s="123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</row>
    <row r="259" spans="1:26" ht="12.75" customHeight="1">
      <c r="A259" s="122"/>
      <c r="B259" s="123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</row>
    <row r="260" spans="1:26" ht="12.75" customHeight="1">
      <c r="A260" s="122"/>
      <c r="B260" s="123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</row>
    <row r="261" spans="1:26" ht="12.75" customHeight="1">
      <c r="A261" s="122"/>
      <c r="B261" s="123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</row>
    <row r="262" spans="1:26" ht="12.75" customHeight="1">
      <c r="A262" s="122"/>
      <c r="B262" s="123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</row>
    <row r="263" spans="1:26" ht="12.75" customHeight="1">
      <c r="A263" s="122"/>
      <c r="B263" s="123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</row>
    <row r="264" spans="1:26" ht="12.75" customHeight="1">
      <c r="A264" s="122"/>
      <c r="B264" s="123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</row>
    <row r="265" spans="1:26" ht="12.75" customHeight="1">
      <c r="A265" s="122"/>
      <c r="B265" s="123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</row>
    <row r="266" spans="1:26" ht="12.75" customHeight="1">
      <c r="A266" s="122"/>
      <c r="B266" s="123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</row>
    <row r="267" spans="1:26" ht="12.75" customHeight="1">
      <c r="A267" s="122"/>
      <c r="B267" s="123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</row>
    <row r="268" spans="1:26" ht="12.75" customHeight="1">
      <c r="A268" s="122"/>
      <c r="B268" s="123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</row>
    <row r="269" spans="1:26" ht="12.75" customHeight="1">
      <c r="A269" s="122"/>
      <c r="B269" s="123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</row>
    <row r="270" spans="1:26" ht="12.75" customHeight="1">
      <c r="A270" s="122"/>
      <c r="B270" s="123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</row>
    <row r="271" spans="1:26" ht="12.75" customHeight="1">
      <c r="A271" s="122"/>
      <c r="B271" s="123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</row>
    <row r="272" spans="1:26" ht="12.75" customHeight="1">
      <c r="A272" s="122"/>
      <c r="B272" s="123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</row>
    <row r="273" spans="1:26" ht="12.75" customHeight="1">
      <c r="A273" s="122"/>
      <c r="B273" s="123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</row>
    <row r="274" spans="1:26" ht="12.75" customHeight="1">
      <c r="A274" s="122"/>
      <c r="B274" s="123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</row>
    <row r="275" spans="1:26" ht="12.75" customHeight="1">
      <c r="A275" s="122"/>
      <c r="B275" s="123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</row>
    <row r="276" spans="1:26" ht="12.75" customHeight="1">
      <c r="A276" s="122"/>
      <c r="B276" s="123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</row>
    <row r="277" spans="1:26" ht="12.75" customHeight="1">
      <c r="A277" s="122"/>
      <c r="B277" s="123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</row>
    <row r="278" spans="1:26" ht="12.75" customHeight="1">
      <c r="A278" s="122"/>
      <c r="B278" s="123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</row>
    <row r="279" spans="1:26" ht="12.75" customHeight="1">
      <c r="A279" s="122"/>
      <c r="B279" s="123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</row>
    <row r="280" spans="1:26" ht="12.75" customHeight="1">
      <c r="A280" s="122"/>
      <c r="B280" s="123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</row>
    <row r="281" spans="1:26" ht="12.75" customHeight="1">
      <c r="A281" s="122"/>
      <c r="B281" s="123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</row>
    <row r="282" spans="1:26" ht="12.75" customHeight="1">
      <c r="A282" s="122"/>
      <c r="B282" s="123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</row>
    <row r="283" spans="1:26" ht="12.75" customHeight="1">
      <c r="A283" s="122"/>
      <c r="B283" s="123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</row>
    <row r="284" spans="1:26" ht="12.75" customHeight="1">
      <c r="A284" s="122"/>
      <c r="B284" s="123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</row>
    <row r="285" spans="1:26" ht="12.75" customHeight="1">
      <c r="A285" s="122"/>
      <c r="B285" s="123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</row>
    <row r="286" spans="1:26" ht="12.75" customHeight="1">
      <c r="A286" s="122"/>
      <c r="B286" s="123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</row>
    <row r="287" spans="1:26" ht="12.75" customHeight="1">
      <c r="A287" s="122"/>
      <c r="B287" s="123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</row>
    <row r="288" spans="1:26" ht="12.75" customHeight="1">
      <c r="A288" s="122"/>
      <c r="B288" s="123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</row>
    <row r="289" spans="1:26" ht="12.75" customHeight="1">
      <c r="A289" s="122"/>
      <c r="B289" s="123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</row>
    <row r="290" spans="1:26" ht="12.75" customHeight="1">
      <c r="A290" s="122"/>
      <c r="B290" s="123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</row>
    <row r="291" spans="1:26" ht="12.75" customHeight="1">
      <c r="A291" s="122"/>
      <c r="B291" s="123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</row>
    <row r="292" spans="1:26" ht="12.75" customHeight="1">
      <c r="A292" s="122"/>
      <c r="B292" s="123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</row>
    <row r="293" spans="1:26" ht="12.75" customHeight="1">
      <c r="A293" s="122"/>
      <c r="B293" s="123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</row>
    <row r="294" spans="1:26" ht="12.75" customHeight="1">
      <c r="A294" s="122"/>
      <c r="B294" s="123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</row>
    <row r="295" spans="1:26" ht="12.75" customHeight="1">
      <c r="A295" s="122"/>
      <c r="B295" s="123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</row>
    <row r="296" spans="1:26" ht="12.75" customHeight="1">
      <c r="A296" s="122"/>
      <c r="B296" s="123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</row>
    <row r="297" spans="1:26" ht="12.75" customHeight="1">
      <c r="A297" s="122"/>
      <c r="B297" s="123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</row>
    <row r="298" spans="1:26" ht="12.75" customHeight="1">
      <c r="A298" s="122"/>
      <c r="B298" s="123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</row>
    <row r="299" spans="1:26" ht="12.75" customHeight="1">
      <c r="A299" s="122"/>
      <c r="B299" s="123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</row>
    <row r="300" spans="1:26" ht="12.75" customHeight="1">
      <c r="A300" s="122"/>
      <c r="B300" s="123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</row>
    <row r="301" spans="1:26" ht="12.75" customHeight="1">
      <c r="A301" s="122"/>
      <c r="B301" s="123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</row>
    <row r="302" spans="1:26" ht="12.75" customHeight="1">
      <c r="A302" s="122"/>
      <c r="B302" s="123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</row>
    <row r="303" spans="1:26" ht="12.75" customHeight="1">
      <c r="A303" s="122"/>
      <c r="B303" s="123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</row>
    <row r="304" spans="1:26" ht="12.75" customHeight="1">
      <c r="A304" s="122"/>
      <c r="B304" s="123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</row>
    <row r="305" spans="1:26" ht="12.75" customHeight="1">
      <c r="A305" s="122"/>
      <c r="B305" s="123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</row>
    <row r="306" spans="1:26" ht="12.75" customHeight="1">
      <c r="A306" s="122"/>
      <c r="B306" s="123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</row>
    <row r="307" spans="1:26" ht="12.75" customHeight="1">
      <c r="A307" s="122"/>
      <c r="B307" s="123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</row>
    <row r="308" spans="1:26" ht="12.75" customHeight="1">
      <c r="A308" s="122"/>
      <c r="B308" s="123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</row>
    <row r="309" spans="1:26" ht="12.75" customHeight="1">
      <c r="A309" s="122"/>
      <c r="B309" s="123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</row>
    <row r="310" spans="1:26" ht="12.75" customHeight="1">
      <c r="A310" s="122"/>
      <c r="B310" s="123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</row>
    <row r="311" spans="1:26" ht="12.75" customHeight="1">
      <c r="A311" s="122"/>
      <c r="B311" s="123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</row>
    <row r="312" spans="1:26" ht="12.75" customHeight="1">
      <c r="A312" s="122"/>
      <c r="B312" s="123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</row>
    <row r="313" spans="1:26" ht="12.75" customHeight="1">
      <c r="A313" s="122"/>
      <c r="B313" s="123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</row>
    <row r="314" spans="1:26" ht="12.75" customHeight="1">
      <c r="A314" s="122"/>
      <c r="B314" s="123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</row>
    <row r="315" spans="1:26" ht="12.75" customHeight="1">
      <c r="A315" s="122"/>
      <c r="B315" s="123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</row>
    <row r="316" spans="1:26" ht="12.75" customHeight="1">
      <c r="A316" s="122"/>
      <c r="B316" s="123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</row>
    <row r="317" spans="1:26" ht="12.75" customHeight="1">
      <c r="A317" s="122"/>
      <c r="B317" s="123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</row>
    <row r="318" spans="1:26" ht="12.75" customHeight="1">
      <c r="A318" s="122"/>
      <c r="B318" s="123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</row>
    <row r="319" spans="1:26" ht="12.75" customHeight="1">
      <c r="A319" s="122"/>
      <c r="B319" s="123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</row>
    <row r="320" spans="1:26" ht="12.75" customHeight="1">
      <c r="A320" s="122"/>
      <c r="B320" s="123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</row>
    <row r="321" spans="1:26" ht="12.75" customHeight="1">
      <c r="A321" s="122"/>
      <c r="B321" s="123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</row>
    <row r="322" spans="1:26" ht="12.75" customHeight="1">
      <c r="A322" s="122"/>
      <c r="B322" s="123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</row>
    <row r="323" spans="1:26" ht="12.75" customHeight="1">
      <c r="A323" s="122"/>
      <c r="B323" s="123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</row>
    <row r="324" spans="1:26" ht="12.75" customHeight="1">
      <c r="A324" s="122"/>
      <c r="B324" s="123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</row>
    <row r="325" spans="1:26" ht="12.75" customHeight="1">
      <c r="A325" s="122"/>
      <c r="B325" s="123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</row>
    <row r="326" spans="1:26" ht="12.75" customHeight="1">
      <c r="A326" s="122"/>
      <c r="B326" s="123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</row>
    <row r="327" spans="1:26" ht="12.75" customHeight="1">
      <c r="A327" s="122"/>
      <c r="B327" s="123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</row>
    <row r="328" spans="1:26" ht="12.75" customHeight="1">
      <c r="A328" s="122"/>
      <c r="B328" s="123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</row>
    <row r="329" spans="1:26" ht="12.75" customHeight="1">
      <c r="A329" s="122"/>
      <c r="B329" s="123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</row>
    <row r="330" spans="1:26" ht="12.75" customHeight="1">
      <c r="A330" s="122"/>
      <c r="B330" s="123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</row>
    <row r="331" spans="1:26" ht="12.75" customHeight="1">
      <c r="A331" s="122"/>
      <c r="B331" s="123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</row>
    <row r="332" spans="1:26" ht="12.75" customHeight="1">
      <c r="A332" s="122"/>
      <c r="B332" s="123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</row>
    <row r="333" spans="1:26" ht="12.75" customHeight="1">
      <c r="A333" s="122"/>
      <c r="B333" s="123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</row>
    <row r="334" spans="1:26" ht="12.75" customHeight="1">
      <c r="A334" s="122"/>
      <c r="B334" s="123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</row>
    <row r="335" spans="1:26" ht="12.75" customHeight="1">
      <c r="A335" s="122"/>
      <c r="B335" s="123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</row>
    <row r="336" spans="1:26" ht="12.75" customHeight="1">
      <c r="A336" s="122"/>
      <c r="B336" s="123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</row>
    <row r="337" spans="1:26" ht="12.75" customHeight="1">
      <c r="A337" s="122"/>
      <c r="B337" s="123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</row>
    <row r="338" spans="1:26" ht="12.75" customHeight="1">
      <c r="A338" s="122"/>
      <c r="B338" s="123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</row>
    <row r="339" spans="1:26" ht="12.75" customHeight="1">
      <c r="A339" s="122"/>
      <c r="B339" s="123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</row>
    <row r="340" spans="1:26" ht="12.75" customHeight="1">
      <c r="A340" s="122"/>
      <c r="B340" s="123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</row>
    <row r="341" spans="1:26" ht="12.75" customHeight="1">
      <c r="A341" s="122"/>
      <c r="B341" s="123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</row>
    <row r="342" spans="1:26" ht="12.75" customHeight="1">
      <c r="A342" s="122"/>
      <c r="B342" s="123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</row>
    <row r="343" spans="1:26" ht="12.75" customHeight="1">
      <c r="A343" s="122"/>
      <c r="B343" s="123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</row>
    <row r="344" spans="1:26" ht="12.75" customHeight="1">
      <c r="A344" s="122"/>
      <c r="B344" s="123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</row>
    <row r="345" spans="1:26" ht="12.75" customHeight="1">
      <c r="A345" s="122"/>
      <c r="B345" s="123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</row>
    <row r="346" spans="1:26" ht="12.75" customHeight="1">
      <c r="A346" s="122"/>
      <c r="B346" s="123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</row>
    <row r="347" spans="1:26" ht="12.75" customHeight="1">
      <c r="A347" s="122"/>
      <c r="B347" s="123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</row>
    <row r="348" spans="1:26" ht="12.75" customHeight="1">
      <c r="A348" s="122"/>
      <c r="B348" s="123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</row>
    <row r="349" spans="1:26" ht="12.75" customHeight="1">
      <c r="A349" s="122"/>
      <c r="B349" s="123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</row>
    <row r="350" spans="1:26" ht="12.75" customHeight="1">
      <c r="A350" s="122"/>
      <c r="B350" s="123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</row>
    <row r="351" spans="1:26" ht="12.75" customHeight="1">
      <c r="A351" s="122"/>
      <c r="B351" s="123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</row>
    <row r="352" spans="1:26" ht="12.75" customHeight="1">
      <c r="A352" s="122"/>
      <c r="B352" s="123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</row>
    <row r="353" spans="1:26" ht="12.75" customHeight="1">
      <c r="A353" s="122"/>
      <c r="B353" s="123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</row>
    <row r="354" spans="1:26" ht="12.75" customHeight="1">
      <c r="A354" s="122"/>
      <c r="B354" s="123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</row>
    <row r="355" spans="1:26" ht="12.75" customHeight="1">
      <c r="A355" s="122"/>
      <c r="B355" s="123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</row>
    <row r="356" spans="1:26" ht="12.75" customHeight="1">
      <c r="A356" s="122"/>
      <c r="B356" s="123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</row>
    <row r="357" spans="1:26" ht="12.75" customHeight="1">
      <c r="A357" s="122"/>
      <c r="B357" s="123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</row>
    <row r="358" spans="1:26" ht="12.75" customHeight="1">
      <c r="A358" s="122"/>
      <c r="B358" s="123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</row>
    <row r="359" spans="1:26" ht="12.75" customHeight="1">
      <c r="A359" s="122"/>
      <c r="B359" s="123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</row>
    <row r="360" spans="1:26" ht="12.75" customHeight="1">
      <c r="A360" s="122"/>
      <c r="B360" s="123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</row>
    <row r="361" spans="1:26" ht="12.75" customHeight="1">
      <c r="A361" s="122"/>
      <c r="B361" s="123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</row>
    <row r="362" spans="1:26" ht="12.75" customHeight="1">
      <c r="A362" s="122"/>
      <c r="B362" s="123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</row>
    <row r="363" spans="1:26" ht="12.75" customHeight="1">
      <c r="A363" s="122"/>
      <c r="B363" s="123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</row>
    <row r="364" spans="1:26" ht="12.75" customHeight="1">
      <c r="A364" s="122"/>
      <c r="B364" s="123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</row>
    <row r="365" spans="1:26" ht="12.75" customHeight="1">
      <c r="A365" s="122"/>
      <c r="B365" s="123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</row>
    <row r="366" spans="1:26" ht="12.75" customHeight="1">
      <c r="A366" s="122"/>
      <c r="B366" s="123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</row>
    <row r="367" spans="1:26" ht="12.75" customHeight="1">
      <c r="A367" s="122"/>
      <c r="B367" s="123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</row>
    <row r="368" spans="1:26" ht="12.75" customHeight="1">
      <c r="A368" s="122"/>
      <c r="B368" s="123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</row>
    <row r="369" spans="1:26" ht="12.75" customHeight="1">
      <c r="A369" s="122"/>
      <c r="B369" s="123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</row>
    <row r="370" spans="1:26" ht="12.75" customHeight="1">
      <c r="A370" s="122"/>
      <c r="B370" s="123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</row>
    <row r="371" spans="1:26" ht="12.75" customHeight="1">
      <c r="A371" s="122"/>
      <c r="B371" s="123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</row>
    <row r="372" spans="1:26" ht="12.75" customHeight="1">
      <c r="A372" s="122"/>
      <c r="B372" s="123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</row>
    <row r="373" spans="1:26" ht="12.75" customHeight="1">
      <c r="A373" s="122"/>
      <c r="B373" s="123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</row>
    <row r="374" spans="1:26" ht="12.75" customHeight="1">
      <c r="A374" s="122"/>
      <c r="B374" s="123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</row>
    <row r="375" spans="1:26" ht="12.75" customHeight="1">
      <c r="A375" s="122"/>
      <c r="B375" s="123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</row>
    <row r="376" spans="1:26" ht="12.75" customHeight="1">
      <c r="A376" s="122"/>
      <c r="B376" s="123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</row>
    <row r="377" spans="1:26" ht="12.75" customHeight="1">
      <c r="A377" s="122"/>
      <c r="B377" s="123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</row>
    <row r="378" spans="1:26" ht="12.75" customHeight="1">
      <c r="A378" s="122"/>
      <c r="B378" s="123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</row>
    <row r="379" spans="1:26" ht="12.75" customHeight="1">
      <c r="A379" s="122"/>
      <c r="B379" s="123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</row>
    <row r="380" spans="1:26" ht="12.75" customHeight="1">
      <c r="A380" s="122"/>
      <c r="B380" s="123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</row>
    <row r="381" spans="1:26" ht="12.75" customHeight="1">
      <c r="A381" s="122"/>
      <c r="B381" s="123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</row>
    <row r="382" spans="1:26" ht="12.75" customHeight="1">
      <c r="A382" s="122"/>
      <c r="B382" s="123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</row>
    <row r="383" spans="1:26" ht="12.75" customHeight="1">
      <c r="A383" s="122"/>
      <c r="B383" s="123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</row>
    <row r="384" spans="1:26" ht="12.75" customHeight="1">
      <c r="A384" s="122"/>
      <c r="B384" s="123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</row>
    <row r="385" spans="1:26" ht="12.75" customHeight="1">
      <c r="A385" s="122"/>
      <c r="B385" s="123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</row>
    <row r="386" spans="1:26" ht="12.75" customHeight="1">
      <c r="A386" s="122"/>
      <c r="B386" s="123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</row>
    <row r="387" spans="1:26" ht="12.75" customHeight="1">
      <c r="A387" s="122"/>
      <c r="B387" s="123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</row>
    <row r="388" spans="1:26" ht="12.75" customHeight="1">
      <c r="A388" s="122"/>
      <c r="B388" s="123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</row>
    <row r="389" spans="1:26" ht="12.75" customHeight="1">
      <c r="A389" s="122"/>
      <c r="B389" s="123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</row>
    <row r="390" spans="1:26" ht="12.75" customHeight="1">
      <c r="A390" s="122"/>
      <c r="B390" s="123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</row>
    <row r="391" spans="1:26" ht="12.75" customHeight="1">
      <c r="A391" s="122"/>
      <c r="B391" s="123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</row>
    <row r="392" spans="1:26" ht="12.75" customHeight="1">
      <c r="A392" s="122"/>
      <c r="B392" s="123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</row>
    <row r="393" spans="1:26" ht="12.75" customHeight="1">
      <c r="A393" s="122"/>
      <c r="B393" s="123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</row>
    <row r="394" spans="1:26" ht="12.75" customHeight="1">
      <c r="A394" s="122"/>
      <c r="B394" s="123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</row>
    <row r="395" spans="1:26" ht="12.75" customHeight="1">
      <c r="A395" s="122"/>
      <c r="B395" s="123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</row>
    <row r="396" spans="1:26" ht="12.75" customHeight="1">
      <c r="A396" s="122"/>
      <c r="B396" s="123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</row>
    <row r="397" spans="1:26" ht="12.75" customHeight="1">
      <c r="A397" s="122"/>
      <c r="B397" s="123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</row>
    <row r="398" spans="1:26" ht="12.75" customHeight="1">
      <c r="A398" s="122"/>
      <c r="B398" s="123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</row>
    <row r="399" spans="1:26" ht="12.75" customHeight="1">
      <c r="A399" s="122"/>
      <c r="B399" s="123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</row>
    <row r="400" spans="1:26" ht="12.75" customHeight="1">
      <c r="A400" s="122"/>
      <c r="B400" s="123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</row>
    <row r="401" spans="1:26" ht="12.75" customHeight="1">
      <c r="A401" s="122"/>
      <c r="B401" s="123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</row>
    <row r="402" spans="1:26" ht="12.75" customHeight="1">
      <c r="A402" s="122"/>
      <c r="B402" s="123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</row>
    <row r="403" spans="1:26" ht="12.75" customHeight="1">
      <c r="A403" s="122"/>
      <c r="B403" s="123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</row>
    <row r="404" spans="1:26" ht="12.75" customHeight="1">
      <c r="A404" s="122"/>
      <c r="B404" s="123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</row>
    <row r="405" spans="1:26" ht="12.75" customHeight="1">
      <c r="A405" s="122"/>
      <c r="B405" s="123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</row>
    <row r="406" spans="1:26" ht="12.75" customHeight="1">
      <c r="A406" s="122"/>
      <c r="B406" s="123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</row>
    <row r="407" spans="1:26" ht="12.75" customHeight="1">
      <c r="A407" s="122"/>
      <c r="B407" s="123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</row>
    <row r="408" spans="1:26" ht="12.75" customHeight="1">
      <c r="A408" s="122"/>
      <c r="B408" s="123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</row>
    <row r="409" spans="1:26" ht="12.75" customHeight="1">
      <c r="A409" s="122"/>
      <c r="B409" s="123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</row>
    <row r="410" spans="1:26" ht="12.75" customHeight="1">
      <c r="A410" s="122"/>
      <c r="B410" s="123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</row>
    <row r="411" spans="1:26" ht="12.75" customHeight="1">
      <c r="A411" s="122"/>
      <c r="B411" s="123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</row>
    <row r="412" spans="1:26" ht="12.75" customHeight="1">
      <c r="A412" s="122"/>
      <c r="B412" s="123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</row>
    <row r="413" spans="1:26" ht="12.75" customHeight="1">
      <c r="A413" s="122"/>
      <c r="B413" s="123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</row>
    <row r="414" spans="1:26" ht="12.75" customHeight="1">
      <c r="A414" s="122"/>
      <c r="B414" s="123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</row>
    <row r="415" spans="1:26" ht="12.75" customHeight="1">
      <c r="A415" s="122"/>
      <c r="B415" s="123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</row>
    <row r="416" spans="1:26" ht="12.75" customHeight="1">
      <c r="A416" s="122"/>
      <c r="B416" s="123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</row>
    <row r="417" spans="1:26" ht="12.75" customHeight="1">
      <c r="A417" s="122"/>
      <c r="B417" s="123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</row>
    <row r="418" spans="1:26" ht="12.75" customHeight="1">
      <c r="A418" s="122"/>
      <c r="B418" s="123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</row>
    <row r="419" spans="1:26" ht="12.75" customHeight="1">
      <c r="A419" s="122"/>
      <c r="B419" s="123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</row>
    <row r="420" spans="1:26" ht="12.75" customHeight="1">
      <c r="A420" s="122"/>
      <c r="B420" s="123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</row>
    <row r="421" spans="1:26" ht="12.75" customHeight="1">
      <c r="A421" s="122"/>
      <c r="B421" s="123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</row>
    <row r="422" spans="1:26" ht="12.75" customHeight="1">
      <c r="A422" s="122"/>
      <c r="B422" s="123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</row>
    <row r="423" spans="1:26" ht="12.75" customHeight="1">
      <c r="A423" s="122"/>
      <c r="B423" s="123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</row>
    <row r="424" spans="1:26" ht="12.75" customHeight="1">
      <c r="A424" s="122"/>
      <c r="B424" s="123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</row>
    <row r="425" spans="1:26" ht="12.75" customHeight="1">
      <c r="A425" s="122"/>
      <c r="B425" s="123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</row>
    <row r="426" spans="1:26" ht="12.75" customHeight="1">
      <c r="A426" s="122"/>
      <c r="B426" s="123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</row>
    <row r="427" spans="1:26" ht="12.75" customHeight="1">
      <c r="A427" s="122"/>
      <c r="B427" s="123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</row>
    <row r="428" spans="1:26" ht="12.75" customHeight="1">
      <c r="A428" s="122"/>
      <c r="B428" s="123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</row>
    <row r="429" spans="1:26" ht="12.75" customHeight="1">
      <c r="A429" s="122"/>
      <c r="B429" s="123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</row>
    <row r="430" spans="1:26" ht="12.75" customHeight="1">
      <c r="A430" s="122"/>
      <c r="B430" s="123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</row>
    <row r="431" spans="1:26" ht="12.75" customHeight="1">
      <c r="A431" s="122"/>
      <c r="B431" s="123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</row>
    <row r="432" spans="1:26" ht="12.75" customHeight="1">
      <c r="A432" s="122"/>
      <c r="B432" s="123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</row>
    <row r="433" spans="1:26" ht="12.75" customHeight="1">
      <c r="A433" s="122"/>
      <c r="B433" s="123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</row>
    <row r="434" spans="1:26" ht="12.75" customHeight="1">
      <c r="A434" s="122"/>
      <c r="B434" s="123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</row>
    <row r="435" spans="1:26" ht="12.75" customHeight="1">
      <c r="A435" s="122"/>
      <c r="B435" s="123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</row>
    <row r="436" spans="1:26" ht="12.75" customHeight="1">
      <c r="A436" s="122"/>
      <c r="B436" s="123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</row>
    <row r="437" spans="1:26" ht="12.75" customHeight="1">
      <c r="A437" s="122"/>
      <c r="B437" s="123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</row>
    <row r="438" spans="1:26" ht="12.75" customHeight="1">
      <c r="A438" s="122"/>
      <c r="B438" s="123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</row>
    <row r="439" spans="1:26" ht="12.75" customHeight="1">
      <c r="A439" s="122"/>
      <c r="B439" s="123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</row>
    <row r="440" spans="1:26" ht="12.75" customHeight="1">
      <c r="A440" s="122"/>
      <c r="B440" s="123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</row>
    <row r="441" spans="1:26" ht="12.75" customHeight="1">
      <c r="A441" s="122"/>
      <c r="B441" s="123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</row>
    <row r="442" spans="1:26" ht="12.75" customHeight="1">
      <c r="A442" s="122"/>
      <c r="B442" s="123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</row>
    <row r="443" spans="1:26" ht="12.75" customHeight="1">
      <c r="A443" s="122"/>
      <c r="B443" s="123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</row>
    <row r="444" spans="1:26" ht="12.75" customHeight="1">
      <c r="A444" s="122"/>
      <c r="B444" s="123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</row>
    <row r="445" spans="1:26" ht="12.75" customHeight="1">
      <c r="A445" s="122"/>
      <c r="B445" s="123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</row>
    <row r="446" spans="1:26" ht="12.75" customHeight="1">
      <c r="A446" s="122"/>
      <c r="B446" s="123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</row>
    <row r="447" spans="1:26" ht="12.75" customHeight="1">
      <c r="A447" s="122"/>
      <c r="B447" s="123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</row>
    <row r="448" spans="1:26" ht="12.75" customHeight="1">
      <c r="A448" s="122"/>
      <c r="B448" s="123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</row>
    <row r="449" spans="1:26" ht="12.75" customHeight="1">
      <c r="A449" s="122"/>
      <c r="B449" s="123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</row>
    <row r="450" spans="1:26" ht="12.75" customHeight="1">
      <c r="A450" s="122"/>
      <c r="B450" s="123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</row>
    <row r="451" spans="1:26" ht="12.75" customHeight="1">
      <c r="A451" s="122"/>
      <c r="B451" s="123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</row>
    <row r="452" spans="1:26" ht="12.75" customHeight="1">
      <c r="A452" s="122"/>
      <c r="B452" s="123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</row>
    <row r="453" spans="1:26" ht="12.75" customHeight="1">
      <c r="A453" s="122"/>
      <c r="B453" s="123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</row>
    <row r="454" spans="1:26" ht="12.75" customHeight="1">
      <c r="A454" s="122"/>
      <c r="B454" s="123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</row>
    <row r="455" spans="1:26" ht="12.75" customHeight="1">
      <c r="A455" s="122"/>
      <c r="B455" s="123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</row>
    <row r="456" spans="1:26" ht="12.75" customHeight="1">
      <c r="A456" s="122"/>
      <c r="B456" s="123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</row>
    <row r="457" spans="1:26" ht="12.75" customHeight="1">
      <c r="A457" s="122"/>
      <c r="B457" s="123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</row>
    <row r="458" spans="1:26" ht="12.75" customHeight="1">
      <c r="A458" s="122"/>
      <c r="B458" s="123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</row>
    <row r="459" spans="1:26" ht="12.75" customHeight="1">
      <c r="A459" s="122"/>
      <c r="B459" s="123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</row>
    <row r="460" spans="1:26" ht="12.75" customHeight="1">
      <c r="A460" s="122"/>
      <c r="B460" s="123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</row>
    <row r="461" spans="1:26" ht="12.75" customHeight="1">
      <c r="A461" s="122"/>
      <c r="B461" s="123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</row>
    <row r="462" spans="1:26" ht="12.75" customHeight="1">
      <c r="A462" s="122"/>
      <c r="B462" s="123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</row>
    <row r="463" spans="1:26" ht="12.75" customHeight="1">
      <c r="A463" s="122"/>
      <c r="B463" s="123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</row>
    <row r="464" spans="1:26" ht="12.75" customHeight="1">
      <c r="A464" s="122"/>
      <c r="B464" s="123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</row>
    <row r="465" spans="1:26" ht="12.75" customHeight="1">
      <c r="A465" s="122"/>
      <c r="B465" s="123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</row>
    <row r="466" spans="1:26" ht="12.75" customHeight="1">
      <c r="A466" s="122"/>
      <c r="B466" s="123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</row>
    <row r="467" spans="1:26" ht="12.75" customHeight="1">
      <c r="A467" s="122"/>
      <c r="B467" s="123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</row>
    <row r="468" spans="1:26" ht="12.75" customHeight="1">
      <c r="A468" s="122"/>
      <c r="B468" s="123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</row>
    <row r="469" spans="1:26" ht="12.75" customHeight="1">
      <c r="A469" s="122"/>
      <c r="B469" s="123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</row>
    <row r="470" spans="1:26" ht="12.75" customHeight="1">
      <c r="A470" s="122"/>
      <c r="B470" s="123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</row>
    <row r="471" spans="1:26" ht="12.75" customHeight="1">
      <c r="A471" s="122"/>
      <c r="B471" s="123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</row>
    <row r="472" spans="1:26" ht="12.75" customHeight="1">
      <c r="A472" s="122"/>
      <c r="B472" s="123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</row>
    <row r="473" spans="1:26" ht="12.75" customHeight="1">
      <c r="A473" s="122"/>
      <c r="B473" s="123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</row>
    <row r="474" spans="1:26" ht="12.75" customHeight="1">
      <c r="A474" s="122"/>
      <c r="B474" s="123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</row>
    <row r="475" spans="1:26" ht="12.75" customHeight="1">
      <c r="A475" s="122"/>
      <c r="B475" s="123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</row>
    <row r="476" spans="1:26" ht="12.75" customHeight="1">
      <c r="A476" s="122"/>
      <c r="B476" s="123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</row>
    <row r="477" spans="1:26" ht="12.75" customHeight="1">
      <c r="A477" s="122"/>
      <c r="B477" s="123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</row>
    <row r="478" spans="1:26" ht="12.75" customHeight="1">
      <c r="A478" s="122"/>
      <c r="B478" s="123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</row>
    <row r="479" spans="1:26" ht="12.75" customHeight="1">
      <c r="A479" s="122"/>
      <c r="B479" s="123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</row>
    <row r="480" spans="1:26" ht="12.75" customHeight="1">
      <c r="A480" s="122"/>
      <c r="B480" s="123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</row>
    <row r="481" spans="1:26" ht="12.75" customHeight="1">
      <c r="A481" s="122"/>
      <c r="B481" s="123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</row>
    <row r="482" spans="1:26" ht="12.75" customHeight="1">
      <c r="A482" s="122"/>
      <c r="B482" s="123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</row>
    <row r="483" spans="1:26" ht="12.75" customHeight="1">
      <c r="A483" s="122"/>
      <c r="B483" s="123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</row>
    <row r="484" spans="1:26" ht="12.75" customHeight="1">
      <c r="A484" s="122"/>
      <c r="B484" s="123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</row>
    <row r="485" spans="1:26" ht="12.75" customHeight="1">
      <c r="A485" s="122"/>
      <c r="B485" s="123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</row>
    <row r="486" spans="1:26" ht="12.75" customHeight="1">
      <c r="A486" s="122"/>
      <c r="B486" s="123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</row>
    <row r="487" spans="1:26" ht="12.75" customHeight="1">
      <c r="A487" s="122"/>
      <c r="B487" s="123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</row>
    <row r="488" spans="1:26" ht="12.75" customHeight="1">
      <c r="A488" s="122"/>
      <c r="B488" s="123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</row>
    <row r="489" spans="1:26" ht="12.75" customHeight="1">
      <c r="A489" s="122"/>
      <c r="B489" s="123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</row>
    <row r="490" spans="1:26" ht="12.75" customHeight="1">
      <c r="A490" s="122"/>
      <c r="B490" s="123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</row>
    <row r="491" spans="1:26" ht="12.75" customHeight="1">
      <c r="A491" s="122"/>
      <c r="B491" s="123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</row>
    <row r="492" spans="1:26" ht="12.75" customHeight="1">
      <c r="A492" s="122"/>
      <c r="B492" s="123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</row>
    <row r="493" spans="1:26" ht="12.75" customHeight="1">
      <c r="A493" s="122"/>
      <c r="B493" s="123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</row>
    <row r="494" spans="1:26" ht="12.75" customHeight="1">
      <c r="A494" s="122"/>
      <c r="B494" s="123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</row>
    <row r="495" spans="1:26" ht="12.75" customHeight="1">
      <c r="A495" s="122"/>
      <c r="B495" s="123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</row>
    <row r="496" spans="1:26" ht="12.75" customHeight="1">
      <c r="A496" s="122"/>
      <c r="B496" s="123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</row>
    <row r="497" spans="1:26" ht="12.75" customHeight="1">
      <c r="A497" s="122"/>
      <c r="B497" s="123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</row>
    <row r="498" spans="1:26" ht="12.75" customHeight="1">
      <c r="A498" s="122"/>
      <c r="B498" s="123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</row>
    <row r="499" spans="1:26" ht="12.75" customHeight="1">
      <c r="A499" s="122"/>
      <c r="B499" s="123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</row>
    <row r="500" spans="1:26" ht="12.75" customHeight="1">
      <c r="A500" s="122"/>
      <c r="B500" s="123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</row>
    <row r="501" spans="1:26" ht="12.75" customHeight="1">
      <c r="A501" s="122"/>
      <c r="B501" s="123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</row>
    <row r="502" spans="1:26" ht="12.75" customHeight="1">
      <c r="A502" s="122"/>
      <c r="B502" s="123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</row>
    <row r="503" spans="1:26" ht="12.75" customHeight="1">
      <c r="A503" s="122"/>
      <c r="B503" s="123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</row>
    <row r="504" spans="1:26" ht="12.75" customHeight="1">
      <c r="A504" s="122"/>
      <c r="B504" s="123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</row>
    <row r="505" spans="1:26" ht="12.75" customHeight="1">
      <c r="A505" s="122"/>
      <c r="B505" s="123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</row>
    <row r="506" spans="1:26" ht="12.75" customHeight="1">
      <c r="A506" s="122"/>
      <c r="B506" s="123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</row>
    <row r="507" spans="1:26" ht="12.75" customHeight="1">
      <c r="A507" s="122"/>
      <c r="B507" s="123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</row>
    <row r="508" spans="1:26" ht="12.75" customHeight="1">
      <c r="A508" s="122"/>
      <c r="B508" s="123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</row>
    <row r="509" spans="1:26" ht="12.75" customHeight="1">
      <c r="A509" s="122"/>
      <c r="B509" s="123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</row>
    <row r="510" spans="1:26" ht="12.75" customHeight="1">
      <c r="A510" s="122"/>
      <c r="B510" s="123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</row>
    <row r="511" spans="1:26" ht="12.75" customHeight="1">
      <c r="A511" s="122"/>
      <c r="B511" s="123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</row>
    <row r="512" spans="1:26" ht="12.75" customHeight="1">
      <c r="A512" s="122"/>
      <c r="B512" s="123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</row>
    <row r="513" spans="1:26" ht="12.75" customHeight="1">
      <c r="A513" s="122"/>
      <c r="B513" s="123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</row>
    <row r="514" spans="1:26" ht="12.75" customHeight="1">
      <c r="A514" s="122"/>
      <c r="B514" s="123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</row>
    <row r="515" spans="1:26" ht="12.75" customHeight="1">
      <c r="A515" s="122"/>
      <c r="B515" s="123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</row>
    <row r="516" spans="1:26" ht="12.75" customHeight="1">
      <c r="A516" s="122"/>
      <c r="B516" s="123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</row>
    <row r="517" spans="1:26" ht="12.75" customHeight="1">
      <c r="A517" s="122"/>
      <c r="B517" s="123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</row>
    <row r="518" spans="1:26" ht="12.75" customHeight="1">
      <c r="A518" s="122"/>
      <c r="B518" s="123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</row>
    <row r="519" spans="1:26" ht="12.75" customHeight="1">
      <c r="A519" s="122"/>
      <c r="B519" s="123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</row>
    <row r="520" spans="1:26" ht="12.75" customHeight="1">
      <c r="A520" s="122"/>
      <c r="B520" s="123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</row>
    <row r="521" spans="1:26" ht="12.75" customHeight="1">
      <c r="A521" s="122"/>
      <c r="B521" s="123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</row>
    <row r="522" spans="1:26" ht="12.75" customHeight="1">
      <c r="A522" s="122"/>
      <c r="B522" s="123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</row>
    <row r="523" spans="1:26" ht="12.75" customHeight="1">
      <c r="A523" s="122"/>
      <c r="B523" s="123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</row>
    <row r="524" spans="1:26" ht="12.75" customHeight="1">
      <c r="A524" s="122"/>
      <c r="B524" s="123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</row>
    <row r="525" spans="1:26" ht="12.75" customHeight="1">
      <c r="A525" s="122"/>
      <c r="B525" s="123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</row>
    <row r="526" spans="1:26" ht="12.75" customHeight="1">
      <c r="A526" s="122"/>
      <c r="B526" s="123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</row>
    <row r="527" spans="1:26" ht="12.75" customHeight="1">
      <c r="A527" s="122"/>
      <c r="B527" s="123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</row>
    <row r="528" spans="1:26" ht="12.75" customHeight="1">
      <c r="A528" s="122"/>
      <c r="B528" s="123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</row>
    <row r="529" spans="1:26" ht="12.75" customHeight="1">
      <c r="A529" s="122"/>
      <c r="B529" s="123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</row>
    <row r="530" spans="1:26" ht="12.75" customHeight="1">
      <c r="A530" s="122"/>
      <c r="B530" s="123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</row>
    <row r="531" spans="1:26" ht="12.75" customHeight="1">
      <c r="A531" s="122"/>
      <c r="B531" s="123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</row>
    <row r="532" spans="1:26" ht="12.75" customHeight="1">
      <c r="A532" s="122"/>
      <c r="B532" s="123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</row>
    <row r="533" spans="1:26" ht="12.75" customHeight="1">
      <c r="A533" s="122"/>
      <c r="B533" s="123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</row>
    <row r="534" spans="1:26" ht="12.75" customHeight="1">
      <c r="A534" s="122"/>
      <c r="B534" s="123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</row>
    <row r="535" spans="1:26" ht="12.75" customHeight="1">
      <c r="A535" s="122"/>
      <c r="B535" s="123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</row>
    <row r="536" spans="1:26" ht="12.75" customHeight="1">
      <c r="A536" s="122"/>
      <c r="B536" s="123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</row>
    <row r="537" spans="1:26" ht="12.75" customHeight="1">
      <c r="A537" s="122"/>
      <c r="B537" s="123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</row>
    <row r="538" spans="1:26" ht="12.75" customHeight="1">
      <c r="A538" s="122"/>
      <c r="B538" s="123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</row>
    <row r="539" spans="1:26" ht="12.75" customHeight="1">
      <c r="A539" s="122"/>
      <c r="B539" s="123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</row>
    <row r="540" spans="1:26" ht="12.75" customHeight="1">
      <c r="A540" s="122"/>
      <c r="B540" s="123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</row>
    <row r="541" spans="1:26" ht="12.75" customHeight="1">
      <c r="A541" s="122"/>
      <c r="B541" s="123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</row>
    <row r="542" spans="1:26" ht="12.75" customHeight="1">
      <c r="A542" s="122"/>
      <c r="B542" s="123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</row>
    <row r="543" spans="1:26" ht="12.75" customHeight="1">
      <c r="A543" s="122"/>
      <c r="B543" s="123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</row>
    <row r="544" spans="1:26" ht="12.75" customHeight="1">
      <c r="A544" s="122"/>
      <c r="B544" s="123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</row>
    <row r="545" spans="1:26" ht="12.75" customHeight="1">
      <c r="A545" s="122"/>
      <c r="B545" s="123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</row>
    <row r="546" spans="1:26" ht="12.75" customHeight="1">
      <c r="A546" s="122"/>
      <c r="B546" s="123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</row>
    <row r="547" spans="1:26" ht="12.75" customHeight="1">
      <c r="A547" s="122"/>
      <c r="B547" s="123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</row>
    <row r="548" spans="1:26" ht="12.75" customHeight="1">
      <c r="A548" s="122"/>
      <c r="B548" s="123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</row>
    <row r="549" spans="1:26" ht="12.75" customHeight="1">
      <c r="A549" s="122"/>
      <c r="B549" s="123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</row>
    <row r="550" spans="1:26" ht="12.75" customHeight="1">
      <c r="A550" s="122"/>
      <c r="B550" s="123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</row>
    <row r="551" spans="1:26" ht="12.75" customHeight="1">
      <c r="A551" s="122"/>
      <c r="B551" s="123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</row>
    <row r="552" spans="1:26" ht="12.75" customHeight="1">
      <c r="A552" s="122"/>
      <c r="B552" s="123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</row>
    <row r="553" spans="1:26" ht="12.75" customHeight="1">
      <c r="A553" s="122"/>
      <c r="B553" s="123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</row>
    <row r="554" spans="1:26" ht="12.75" customHeight="1">
      <c r="A554" s="122"/>
      <c r="B554" s="123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</row>
    <row r="555" spans="1:26" ht="12.75" customHeight="1">
      <c r="A555" s="122"/>
      <c r="B555" s="123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</row>
    <row r="556" spans="1:26" ht="12.75" customHeight="1">
      <c r="A556" s="122"/>
      <c r="B556" s="123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</row>
    <row r="557" spans="1:26" ht="12.75" customHeight="1">
      <c r="A557" s="122"/>
      <c r="B557" s="123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</row>
    <row r="558" spans="1:26" ht="12.75" customHeight="1">
      <c r="A558" s="122"/>
      <c r="B558" s="123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</row>
    <row r="559" spans="1:26" ht="12.75" customHeight="1">
      <c r="A559" s="122"/>
      <c r="B559" s="123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</row>
    <row r="560" spans="1:26" ht="12.75" customHeight="1">
      <c r="A560" s="122"/>
      <c r="B560" s="123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</row>
    <row r="561" spans="1:26" ht="12.75" customHeight="1">
      <c r="A561" s="122"/>
      <c r="B561" s="123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</row>
    <row r="562" spans="1:26" ht="12.75" customHeight="1">
      <c r="A562" s="122"/>
      <c r="B562" s="123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</row>
    <row r="563" spans="1:26" ht="12.75" customHeight="1">
      <c r="A563" s="122"/>
      <c r="B563" s="123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</row>
    <row r="564" spans="1:26" ht="12.75" customHeight="1">
      <c r="A564" s="122"/>
      <c r="B564" s="123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</row>
    <row r="565" spans="1:26" ht="12.75" customHeight="1">
      <c r="A565" s="122"/>
      <c r="B565" s="123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</row>
    <row r="566" spans="1:26" ht="12.75" customHeight="1">
      <c r="A566" s="122"/>
      <c r="B566" s="123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</row>
    <row r="567" spans="1:26" ht="12.75" customHeight="1">
      <c r="A567" s="122"/>
      <c r="B567" s="123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</row>
    <row r="568" spans="1:26" ht="12.75" customHeight="1">
      <c r="A568" s="122"/>
      <c r="B568" s="123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</row>
    <row r="569" spans="1:26" ht="12.75" customHeight="1">
      <c r="A569" s="122"/>
      <c r="B569" s="123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</row>
    <row r="570" spans="1:26" ht="12.75" customHeight="1">
      <c r="A570" s="122"/>
      <c r="B570" s="123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</row>
    <row r="571" spans="1:26" ht="12.75" customHeight="1">
      <c r="A571" s="122"/>
      <c r="B571" s="123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</row>
    <row r="572" spans="1:26" ht="12.75" customHeight="1">
      <c r="A572" s="122"/>
      <c r="B572" s="123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</row>
    <row r="573" spans="1:26" ht="12.75" customHeight="1">
      <c r="A573" s="122"/>
      <c r="B573" s="123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</row>
    <row r="574" spans="1:26" ht="12.75" customHeight="1">
      <c r="A574" s="122"/>
      <c r="B574" s="123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</row>
    <row r="575" spans="1:26" ht="12.75" customHeight="1">
      <c r="A575" s="122"/>
      <c r="B575" s="123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</row>
    <row r="576" spans="1:26" ht="12.75" customHeight="1">
      <c r="A576" s="122"/>
      <c r="B576" s="123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</row>
    <row r="577" spans="1:26" ht="12.75" customHeight="1">
      <c r="A577" s="122"/>
      <c r="B577" s="123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</row>
    <row r="578" spans="1:26" ht="12.75" customHeight="1">
      <c r="A578" s="122"/>
      <c r="B578" s="123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</row>
    <row r="579" spans="1:26" ht="12.75" customHeight="1">
      <c r="A579" s="122"/>
      <c r="B579" s="123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</row>
    <row r="580" spans="1:26" ht="12.75" customHeight="1">
      <c r="A580" s="122"/>
      <c r="B580" s="123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</row>
    <row r="581" spans="1:26" ht="12.75" customHeight="1">
      <c r="A581" s="122"/>
      <c r="B581" s="123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</row>
    <row r="582" spans="1:26" ht="12.75" customHeight="1">
      <c r="A582" s="122"/>
      <c r="B582" s="123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</row>
    <row r="583" spans="1:26" ht="12.75" customHeight="1">
      <c r="A583" s="122"/>
      <c r="B583" s="123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</row>
    <row r="584" spans="1:26" ht="12.75" customHeight="1">
      <c r="A584" s="122"/>
      <c r="B584" s="123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</row>
    <row r="585" spans="1:26" ht="12.75" customHeight="1">
      <c r="A585" s="122"/>
      <c r="B585" s="123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</row>
    <row r="586" spans="1:26" ht="12.75" customHeight="1">
      <c r="A586" s="122"/>
      <c r="B586" s="123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</row>
    <row r="587" spans="1:26" ht="12.75" customHeight="1">
      <c r="A587" s="122"/>
      <c r="B587" s="123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</row>
    <row r="588" spans="1:26" ht="12.75" customHeight="1">
      <c r="A588" s="122"/>
      <c r="B588" s="123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</row>
    <row r="589" spans="1:26" ht="12.75" customHeight="1">
      <c r="A589" s="122"/>
      <c r="B589" s="123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</row>
    <row r="590" spans="1:26" ht="12.75" customHeight="1">
      <c r="A590" s="122"/>
      <c r="B590" s="123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</row>
    <row r="591" spans="1:26" ht="12.75" customHeight="1">
      <c r="A591" s="122"/>
      <c r="B591" s="123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</row>
    <row r="592" spans="1:26" ht="12.75" customHeight="1">
      <c r="A592" s="122"/>
      <c r="B592" s="123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</row>
    <row r="593" spans="1:26" ht="12.75" customHeight="1">
      <c r="A593" s="122"/>
      <c r="B593" s="123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</row>
    <row r="594" spans="1:26" ht="12.75" customHeight="1">
      <c r="A594" s="122"/>
      <c r="B594" s="123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</row>
    <row r="595" spans="1:26" ht="12.75" customHeight="1">
      <c r="A595" s="122"/>
      <c r="B595" s="123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</row>
    <row r="596" spans="1:26" ht="12.75" customHeight="1">
      <c r="A596" s="122"/>
      <c r="B596" s="123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</row>
    <row r="597" spans="1:26" ht="12.75" customHeight="1">
      <c r="A597" s="122"/>
      <c r="B597" s="123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</row>
    <row r="598" spans="1:26" ht="12.75" customHeight="1">
      <c r="A598" s="122"/>
      <c r="B598" s="123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</row>
    <row r="599" spans="1:26" ht="12.75" customHeight="1">
      <c r="A599" s="122"/>
      <c r="B599" s="123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</row>
    <row r="600" spans="1:26" ht="12.75" customHeight="1">
      <c r="A600" s="122"/>
      <c r="B600" s="123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</row>
    <row r="601" spans="1:26" ht="12.75" customHeight="1">
      <c r="A601" s="122"/>
      <c r="B601" s="123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</row>
    <row r="602" spans="1:26" ht="12.75" customHeight="1">
      <c r="A602" s="122"/>
      <c r="B602" s="123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</row>
    <row r="603" spans="1:26" ht="12.75" customHeight="1">
      <c r="A603" s="122"/>
      <c r="B603" s="123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</row>
    <row r="604" spans="1:26" ht="12.75" customHeight="1">
      <c r="A604" s="122"/>
      <c r="B604" s="123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</row>
    <row r="605" spans="1:26" ht="12.75" customHeight="1">
      <c r="A605" s="122"/>
      <c r="B605" s="123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</row>
    <row r="606" spans="1:26" ht="12.75" customHeight="1">
      <c r="A606" s="122"/>
      <c r="B606" s="123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</row>
    <row r="607" spans="1:26" ht="12.75" customHeight="1">
      <c r="A607" s="122"/>
      <c r="B607" s="123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</row>
    <row r="608" spans="1:26" ht="12.75" customHeight="1">
      <c r="A608" s="122"/>
      <c r="B608" s="123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</row>
    <row r="609" spans="1:26" ht="12.75" customHeight="1">
      <c r="A609" s="122"/>
      <c r="B609" s="123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</row>
    <row r="610" spans="1:26" ht="12.75" customHeight="1">
      <c r="A610" s="122"/>
      <c r="B610" s="123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</row>
    <row r="611" spans="1:26" ht="12.75" customHeight="1">
      <c r="A611" s="122"/>
      <c r="B611" s="123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</row>
    <row r="612" spans="1:26" ht="12.75" customHeight="1">
      <c r="A612" s="122"/>
      <c r="B612" s="123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</row>
    <row r="613" spans="1:26" ht="12.75" customHeight="1">
      <c r="A613" s="122"/>
      <c r="B613" s="123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</row>
    <row r="614" spans="1:26" ht="12.75" customHeight="1">
      <c r="A614" s="122"/>
      <c r="B614" s="123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</row>
    <row r="615" spans="1:26" ht="12.75" customHeight="1">
      <c r="A615" s="122"/>
      <c r="B615" s="123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</row>
    <row r="616" spans="1:26" ht="12.75" customHeight="1">
      <c r="A616" s="122"/>
      <c r="B616" s="123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</row>
    <row r="617" spans="1:26" ht="12.75" customHeight="1">
      <c r="A617" s="122"/>
      <c r="B617" s="123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</row>
    <row r="618" spans="1:26" ht="12.75" customHeight="1">
      <c r="A618" s="122"/>
      <c r="B618" s="123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</row>
    <row r="619" spans="1:26" ht="12.75" customHeight="1">
      <c r="A619" s="122"/>
      <c r="B619" s="123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</row>
    <row r="620" spans="1:26" ht="12.75" customHeight="1">
      <c r="A620" s="122"/>
      <c r="B620" s="123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</row>
    <row r="621" spans="1:26" ht="12.75" customHeight="1">
      <c r="A621" s="122"/>
      <c r="B621" s="123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</row>
    <row r="622" spans="1:26" ht="12.75" customHeight="1">
      <c r="A622" s="122"/>
      <c r="B622" s="123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</row>
    <row r="623" spans="1:26" ht="12.75" customHeight="1">
      <c r="A623" s="122"/>
      <c r="B623" s="123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</row>
    <row r="624" spans="1:26" ht="12.75" customHeight="1">
      <c r="A624" s="122"/>
      <c r="B624" s="123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</row>
    <row r="625" spans="1:26" ht="12.75" customHeight="1">
      <c r="A625" s="122"/>
      <c r="B625" s="123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</row>
    <row r="626" spans="1:26" ht="12.75" customHeight="1">
      <c r="A626" s="122"/>
      <c r="B626" s="123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</row>
    <row r="627" spans="1:26" ht="12.75" customHeight="1">
      <c r="A627" s="122"/>
      <c r="B627" s="123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</row>
    <row r="628" spans="1:26" ht="12.75" customHeight="1">
      <c r="A628" s="122"/>
      <c r="B628" s="123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</row>
    <row r="629" spans="1:26" ht="12.75" customHeight="1">
      <c r="A629" s="122"/>
      <c r="B629" s="123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</row>
    <row r="630" spans="1:26" ht="12.75" customHeight="1">
      <c r="A630" s="122"/>
      <c r="B630" s="123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</row>
    <row r="631" spans="1:26" ht="12.75" customHeight="1">
      <c r="A631" s="122"/>
      <c r="B631" s="123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</row>
    <row r="632" spans="1:26" ht="12.75" customHeight="1">
      <c r="A632" s="122"/>
      <c r="B632" s="123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</row>
    <row r="633" spans="1:26" ht="12.75" customHeight="1">
      <c r="A633" s="122"/>
      <c r="B633" s="123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</row>
    <row r="634" spans="1:26" ht="12.75" customHeight="1">
      <c r="A634" s="122"/>
      <c r="B634" s="123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</row>
    <row r="635" spans="1:26" ht="12.75" customHeight="1">
      <c r="A635" s="122"/>
      <c r="B635" s="123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</row>
    <row r="636" spans="1:26" ht="12.75" customHeight="1">
      <c r="A636" s="122"/>
      <c r="B636" s="123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</row>
    <row r="637" spans="1:26" ht="12.75" customHeight="1">
      <c r="A637" s="122"/>
      <c r="B637" s="123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</row>
    <row r="638" spans="1:26" ht="12.75" customHeight="1">
      <c r="A638" s="122"/>
      <c r="B638" s="123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</row>
    <row r="639" spans="1:26" ht="12.75" customHeight="1">
      <c r="A639" s="122"/>
      <c r="B639" s="123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</row>
    <row r="640" spans="1:26" ht="12.75" customHeight="1">
      <c r="A640" s="122"/>
      <c r="B640" s="123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</row>
    <row r="641" spans="1:26" ht="12.75" customHeight="1">
      <c r="A641" s="122"/>
      <c r="B641" s="123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</row>
    <row r="642" spans="1:26" ht="12.75" customHeight="1">
      <c r="A642" s="122"/>
      <c r="B642" s="123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</row>
    <row r="643" spans="1:26" ht="12.75" customHeight="1">
      <c r="A643" s="122"/>
      <c r="B643" s="123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</row>
    <row r="644" spans="1:26" ht="12.75" customHeight="1">
      <c r="A644" s="122"/>
      <c r="B644" s="123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</row>
    <row r="645" spans="1:26" ht="12.75" customHeight="1">
      <c r="A645" s="122"/>
      <c r="B645" s="123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</row>
    <row r="646" spans="1:26" ht="12.75" customHeight="1">
      <c r="A646" s="122"/>
      <c r="B646" s="123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</row>
    <row r="647" spans="1:26" ht="12.75" customHeight="1">
      <c r="A647" s="122"/>
      <c r="B647" s="123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</row>
    <row r="648" spans="1:26" ht="12.75" customHeight="1">
      <c r="A648" s="122"/>
      <c r="B648" s="123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</row>
    <row r="649" spans="1:26" ht="12.75" customHeight="1">
      <c r="A649" s="122"/>
      <c r="B649" s="123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</row>
    <row r="650" spans="1:26" ht="12.75" customHeight="1">
      <c r="A650" s="122"/>
      <c r="B650" s="123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</row>
    <row r="651" spans="1:26" ht="12.75" customHeight="1">
      <c r="A651" s="122"/>
      <c r="B651" s="123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</row>
    <row r="652" spans="1:26" ht="12.75" customHeight="1">
      <c r="A652" s="122"/>
      <c r="B652" s="123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</row>
    <row r="653" spans="1:26" ht="12.75" customHeight="1">
      <c r="A653" s="122"/>
      <c r="B653" s="123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</row>
    <row r="654" spans="1:26" ht="12.75" customHeight="1">
      <c r="A654" s="122"/>
      <c r="B654" s="123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</row>
    <row r="655" spans="1:26" ht="12.75" customHeight="1">
      <c r="A655" s="122"/>
      <c r="B655" s="123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</row>
    <row r="656" spans="1:26" ht="12.75" customHeight="1">
      <c r="A656" s="122"/>
      <c r="B656" s="123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</row>
    <row r="657" spans="1:26" ht="12.75" customHeight="1">
      <c r="A657" s="122"/>
      <c r="B657" s="123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</row>
    <row r="658" spans="1:26" ht="12.75" customHeight="1">
      <c r="A658" s="122"/>
      <c r="B658" s="123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</row>
    <row r="659" spans="1:26" ht="12.75" customHeight="1">
      <c r="A659" s="122"/>
      <c r="B659" s="123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</row>
    <row r="660" spans="1:26" ht="12.75" customHeight="1">
      <c r="A660" s="122"/>
      <c r="B660" s="123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</row>
    <row r="661" spans="1:26" ht="12.75" customHeight="1">
      <c r="A661" s="122"/>
      <c r="B661" s="123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</row>
    <row r="662" spans="1:26" ht="12.75" customHeight="1">
      <c r="A662" s="122"/>
      <c r="B662" s="123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</row>
    <row r="663" spans="1:26" ht="12.75" customHeight="1">
      <c r="A663" s="122"/>
      <c r="B663" s="123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</row>
    <row r="664" spans="1:26" ht="12.75" customHeight="1">
      <c r="A664" s="122"/>
      <c r="B664" s="123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</row>
    <row r="665" spans="1:26" ht="12.75" customHeight="1">
      <c r="A665" s="122"/>
      <c r="B665" s="123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</row>
    <row r="666" spans="1:26" ht="12.75" customHeight="1">
      <c r="A666" s="122"/>
      <c r="B666" s="123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</row>
    <row r="667" spans="1:26" ht="12.75" customHeight="1">
      <c r="A667" s="122"/>
      <c r="B667" s="123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</row>
    <row r="668" spans="1:26" ht="12.75" customHeight="1">
      <c r="A668" s="122"/>
      <c r="B668" s="123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</row>
    <row r="669" spans="1:26" ht="12.75" customHeight="1">
      <c r="A669" s="122"/>
      <c r="B669" s="123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</row>
    <row r="670" spans="1:26" ht="12.75" customHeight="1">
      <c r="A670" s="122"/>
      <c r="B670" s="123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</row>
    <row r="671" spans="1:26" ht="12.75" customHeight="1">
      <c r="A671" s="122"/>
      <c r="B671" s="123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</row>
    <row r="672" spans="1:26" ht="12.75" customHeight="1">
      <c r="A672" s="122"/>
      <c r="B672" s="123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</row>
    <row r="673" spans="1:26" ht="12.75" customHeight="1">
      <c r="A673" s="122"/>
      <c r="B673" s="123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</row>
    <row r="674" spans="1:26" ht="12.75" customHeight="1">
      <c r="A674" s="122"/>
      <c r="B674" s="123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</row>
    <row r="675" spans="1:26" ht="12.75" customHeight="1">
      <c r="A675" s="122"/>
      <c r="B675" s="123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</row>
    <row r="676" spans="1:26" ht="12.75" customHeight="1">
      <c r="A676" s="122"/>
      <c r="B676" s="123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</row>
    <row r="677" spans="1:26" ht="12.75" customHeight="1">
      <c r="A677" s="122"/>
      <c r="B677" s="123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</row>
    <row r="678" spans="1:26" ht="12.75" customHeight="1">
      <c r="A678" s="122"/>
      <c r="B678" s="123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</row>
    <row r="679" spans="1:26" ht="12.75" customHeight="1">
      <c r="A679" s="122"/>
      <c r="B679" s="123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</row>
    <row r="680" spans="1:26" ht="12.75" customHeight="1">
      <c r="A680" s="122"/>
      <c r="B680" s="123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</row>
    <row r="681" spans="1:26" ht="12.75" customHeight="1">
      <c r="A681" s="122"/>
      <c r="B681" s="123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</row>
    <row r="682" spans="1:26" ht="12.75" customHeight="1">
      <c r="A682" s="122"/>
      <c r="B682" s="123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</row>
    <row r="683" spans="1:26" ht="12.75" customHeight="1">
      <c r="A683" s="122"/>
      <c r="B683" s="123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</row>
    <row r="684" spans="1:26" ht="12.75" customHeight="1">
      <c r="A684" s="122"/>
      <c r="B684" s="123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</row>
    <row r="685" spans="1:26" ht="12.75" customHeight="1">
      <c r="A685" s="122"/>
      <c r="B685" s="123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</row>
    <row r="686" spans="1:26" ht="12.75" customHeight="1">
      <c r="A686" s="122"/>
      <c r="B686" s="123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</row>
    <row r="687" spans="1:26" ht="12.75" customHeight="1">
      <c r="A687" s="122"/>
      <c r="B687" s="123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</row>
    <row r="688" spans="1:26" ht="12.75" customHeight="1">
      <c r="A688" s="122"/>
      <c r="B688" s="123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</row>
    <row r="689" spans="1:26" ht="12.75" customHeight="1">
      <c r="A689" s="122"/>
      <c r="B689" s="123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</row>
    <row r="690" spans="1:26" ht="12.75" customHeight="1">
      <c r="A690" s="122"/>
      <c r="B690" s="123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</row>
    <row r="691" spans="1:26" ht="12.75" customHeight="1">
      <c r="A691" s="122"/>
      <c r="B691" s="123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</row>
    <row r="692" spans="1:26" ht="12.75" customHeight="1">
      <c r="A692" s="122"/>
      <c r="B692" s="123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</row>
    <row r="693" spans="1:26" ht="12.75" customHeight="1">
      <c r="A693" s="122"/>
      <c r="B693" s="123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</row>
    <row r="694" spans="1:26" ht="12.75" customHeight="1">
      <c r="A694" s="122"/>
      <c r="B694" s="123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</row>
    <row r="695" spans="1:26" ht="12.75" customHeight="1">
      <c r="A695" s="122"/>
      <c r="B695" s="123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</row>
    <row r="696" spans="1:26" ht="12.75" customHeight="1">
      <c r="A696" s="122"/>
      <c r="B696" s="123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</row>
    <row r="697" spans="1:26" ht="12.75" customHeight="1">
      <c r="A697" s="122"/>
      <c r="B697" s="123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</row>
    <row r="698" spans="1:26" ht="12.75" customHeight="1">
      <c r="A698" s="122"/>
      <c r="B698" s="123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</row>
    <row r="699" spans="1:26" ht="12.75" customHeight="1">
      <c r="A699" s="122"/>
      <c r="B699" s="123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</row>
    <row r="700" spans="1:26" ht="12.75" customHeight="1">
      <c r="A700" s="122"/>
      <c r="B700" s="123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</row>
    <row r="701" spans="1:26" ht="12.75" customHeight="1">
      <c r="A701" s="122"/>
      <c r="B701" s="123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</row>
    <row r="702" spans="1:26" ht="12.75" customHeight="1">
      <c r="A702" s="122"/>
      <c r="B702" s="123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</row>
    <row r="703" spans="1:26" ht="12.75" customHeight="1">
      <c r="A703" s="122"/>
      <c r="B703" s="123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</row>
    <row r="704" spans="1:26" ht="12.75" customHeight="1">
      <c r="A704" s="122"/>
      <c r="B704" s="123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</row>
    <row r="705" spans="1:26" ht="12.75" customHeight="1">
      <c r="A705" s="122"/>
      <c r="B705" s="123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</row>
    <row r="706" spans="1:26" ht="12.75" customHeight="1">
      <c r="A706" s="122"/>
      <c r="B706" s="123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</row>
    <row r="707" spans="1:26" ht="12.75" customHeight="1">
      <c r="A707" s="122"/>
      <c r="B707" s="123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</row>
    <row r="708" spans="1:26" ht="12.75" customHeight="1">
      <c r="A708" s="122"/>
      <c r="B708" s="123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</row>
    <row r="709" spans="1:26" ht="12.75" customHeight="1">
      <c r="A709" s="122"/>
      <c r="B709" s="123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</row>
    <row r="710" spans="1:26" ht="12.75" customHeight="1">
      <c r="A710" s="122"/>
      <c r="B710" s="123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</row>
    <row r="711" spans="1:26" ht="12.75" customHeight="1">
      <c r="A711" s="122"/>
      <c r="B711" s="123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</row>
    <row r="712" spans="1:26" ht="12.75" customHeight="1">
      <c r="A712" s="122"/>
      <c r="B712" s="123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</row>
    <row r="713" spans="1:26" ht="12.75" customHeight="1">
      <c r="A713" s="122"/>
      <c r="B713" s="123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</row>
    <row r="714" spans="1:26" ht="12.75" customHeight="1">
      <c r="A714" s="122"/>
      <c r="B714" s="123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</row>
    <row r="715" spans="1:26" ht="12.75" customHeight="1">
      <c r="A715" s="122"/>
      <c r="B715" s="123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</row>
    <row r="716" spans="1:26" ht="12.75" customHeight="1">
      <c r="A716" s="122"/>
      <c r="B716" s="123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</row>
    <row r="717" spans="1:26" ht="12.75" customHeight="1">
      <c r="A717" s="122"/>
      <c r="B717" s="123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</row>
    <row r="718" spans="1:26" ht="12.75" customHeight="1">
      <c r="A718" s="122"/>
      <c r="B718" s="123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</row>
    <row r="719" spans="1:26" ht="12.75" customHeight="1">
      <c r="A719" s="122"/>
      <c r="B719" s="123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</row>
    <row r="720" spans="1:26" ht="12.75" customHeight="1">
      <c r="A720" s="122"/>
      <c r="B720" s="123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</row>
    <row r="721" spans="1:26" ht="12.75" customHeight="1">
      <c r="A721" s="122"/>
      <c r="B721" s="123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</row>
    <row r="722" spans="1:26" ht="12.75" customHeight="1">
      <c r="A722" s="122"/>
      <c r="B722" s="123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</row>
    <row r="723" spans="1:26" ht="12.75" customHeight="1">
      <c r="A723" s="122"/>
      <c r="B723" s="123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</row>
    <row r="724" spans="1:26" ht="12.75" customHeight="1">
      <c r="A724" s="122"/>
      <c r="B724" s="123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</row>
    <row r="725" spans="1:26" ht="12.75" customHeight="1">
      <c r="A725" s="122"/>
      <c r="B725" s="123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</row>
    <row r="726" spans="1:26" ht="12.75" customHeight="1">
      <c r="A726" s="122"/>
      <c r="B726" s="123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</row>
    <row r="727" spans="1:26" ht="12.75" customHeight="1">
      <c r="A727" s="122"/>
      <c r="B727" s="123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</row>
    <row r="728" spans="1:26" ht="12.75" customHeight="1">
      <c r="A728" s="122"/>
      <c r="B728" s="123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</row>
    <row r="729" spans="1:26" ht="12.75" customHeight="1">
      <c r="A729" s="122"/>
      <c r="B729" s="123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</row>
    <row r="730" spans="1:26" ht="12.75" customHeight="1">
      <c r="A730" s="122"/>
      <c r="B730" s="123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</row>
    <row r="731" spans="1:26" ht="12.75" customHeight="1">
      <c r="A731" s="122"/>
      <c r="B731" s="123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</row>
    <row r="732" spans="1:26" ht="12.75" customHeight="1">
      <c r="A732" s="122"/>
      <c r="B732" s="123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</row>
    <row r="733" spans="1:26" ht="12.75" customHeight="1">
      <c r="A733" s="122"/>
      <c r="B733" s="123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</row>
    <row r="734" spans="1:26" ht="12.75" customHeight="1">
      <c r="A734" s="122"/>
      <c r="B734" s="123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</row>
    <row r="735" spans="1:26" ht="12.75" customHeight="1">
      <c r="A735" s="122"/>
      <c r="B735" s="123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</row>
    <row r="736" spans="1:26" ht="12.75" customHeight="1">
      <c r="A736" s="122"/>
      <c r="B736" s="123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</row>
    <row r="737" spans="1:26" ht="12.75" customHeight="1">
      <c r="A737" s="122"/>
      <c r="B737" s="123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</row>
    <row r="738" spans="1:26" ht="12.75" customHeight="1">
      <c r="A738" s="122"/>
      <c r="B738" s="123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</row>
    <row r="739" spans="1:26" ht="12.75" customHeight="1">
      <c r="A739" s="122"/>
      <c r="B739" s="123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</row>
    <row r="740" spans="1:26" ht="12.75" customHeight="1">
      <c r="A740" s="122"/>
      <c r="B740" s="123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</row>
    <row r="741" spans="1:26" ht="12.75" customHeight="1">
      <c r="A741" s="122"/>
      <c r="B741" s="123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</row>
    <row r="742" spans="1:26" ht="12.75" customHeight="1">
      <c r="A742" s="122"/>
      <c r="B742" s="123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</row>
    <row r="743" spans="1:26" ht="12.75" customHeight="1">
      <c r="A743" s="122"/>
      <c r="B743" s="123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</row>
    <row r="744" spans="1:26" ht="12.75" customHeight="1">
      <c r="A744" s="122"/>
      <c r="B744" s="123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</row>
    <row r="745" spans="1:26" ht="12.75" customHeight="1">
      <c r="A745" s="122"/>
      <c r="B745" s="123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</row>
    <row r="746" spans="1:26" ht="12.75" customHeight="1">
      <c r="A746" s="122"/>
      <c r="B746" s="123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</row>
    <row r="747" spans="1:26" ht="12.75" customHeight="1">
      <c r="A747" s="122"/>
      <c r="B747" s="123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</row>
    <row r="748" spans="1:26" ht="12.75" customHeight="1">
      <c r="A748" s="122"/>
      <c r="B748" s="123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</row>
    <row r="749" spans="1:26" ht="12.75" customHeight="1">
      <c r="A749" s="122"/>
      <c r="B749" s="123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</row>
    <row r="750" spans="1:26" ht="12.75" customHeight="1">
      <c r="A750" s="122"/>
      <c r="B750" s="123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</row>
    <row r="751" spans="1:26" ht="12.75" customHeight="1">
      <c r="A751" s="122"/>
      <c r="B751" s="123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</row>
    <row r="752" spans="1:26" ht="12.75" customHeight="1">
      <c r="A752" s="122"/>
      <c r="B752" s="123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</row>
    <row r="753" spans="1:26" ht="12.75" customHeight="1">
      <c r="A753" s="122"/>
      <c r="B753" s="123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</row>
    <row r="754" spans="1:26" ht="12.75" customHeight="1">
      <c r="A754" s="122"/>
      <c r="B754" s="123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</row>
    <row r="755" spans="1:26" ht="12.75" customHeight="1">
      <c r="A755" s="122"/>
      <c r="B755" s="123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</row>
    <row r="756" spans="1:26" ht="12.75" customHeight="1">
      <c r="A756" s="122"/>
      <c r="B756" s="123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</row>
    <row r="757" spans="1:26" ht="12.75" customHeight="1">
      <c r="A757" s="122"/>
      <c r="B757" s="123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</row>
    <row r="758" spans="1:26" ht="12.75" customHeight="1">
      <c r="A758" s="122"/>
      <c r="B758" s="123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</row>
    <row r="759" spans="1:26" ht="12.75" customHeight="1">
      <c r="A759" s="122"/>
      <c r="B759" s="123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</row>
    <row r="760" spans="1:26" ht="12.75" customHeight="1">
      <c r="A760" s="122"/>
      <c r="B760" s="123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</row>
    <row r="761" spans="1:26" ht="12.75" customHeight="1">
      <c r="A761" s="122"/>
      <c r="B761" s="123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</row>
    <row r="762" spans="1:26" ht="12.75" customHeight="1">
      <c r="A762" s="122"/>
      <c r="B762" s="123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</row>
    <row r="763" spans="1:26" ht="12.75" customHeight="1">
      <c r="A763" s="122"/>
      <c r="B763" s="123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</row>
    <row r="764" spans="1:26" ht="12.75" customHeight="1">
      <c r="A764" s="122"/>
      <c r="B764" s="123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</row>
    <row r="765" spans="1:26" ht="12.75" customHeight="1">
      <c r="A765" s="122"/>
      <c r="B765" s="123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</row>
    <row r="766" spans="1:26" ht="12.75" customHeight="1">
      <c r="A766" s="122"/>
      <c r="B766" s="123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</row>
    <row r="767" spans="1:26" ht="12.75" customHeight="1">
      <c r="A767" s="122"/>
      <c r="B767" s="123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</row>
    <row r="768" spans="1:26" ht="12.75" customHeight="1">
      <c r="A768" s="122"/>
      <c r="B768" s="123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</row>
    <row r="769" spans="1:26" ht="12.75" customHeight="1">
      <c r="A769" s="122"/>
      <c r="B769" s="123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</row>
    <row r="770" spans="1:26" ht="12.75" customHeight="1">
      <c r="A770" s="122"/>
      <c r="B770" s="123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</row>
    <row r="771" spans="1:26" ht="12.75" customHeight="1">
      <c r="A771" s="122"/>
      <c r="B771" s="123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</row>
    <row r="772" spans="1:26" ht="12.75" customHeight="1">
      <c r="A772" s="122"/>
      <c r="B772" s="123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</row>
    <row r="773" spans="1:26" ht="12.75" customHeight="1">
      <c r="A773" s="122"/>
      <c r="B773" s="123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</row>
    <row r="774" spans="1:26" ht="12.75" customHeight="1">
      <c r="A774" s="122"/>
      <c r="B774" s="123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</row>
    <row r="775" spans="1:26" ht="12.75" customHeight="1">
      <c r="A775" s="122"/>
      <c r="B775" s="123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</row>
    <row r="776" spans="1:26" ht="12.75" customHeight="1">
      <c r="A776" s="122"/>
      <c r="B776" s="123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</row>
    <row r="777" spans="1:26" ht="12.75" customHeight="1">
      <c r="A777" s="122"/>
      <c r="B777" s="123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</row>
    <row r="778" spans="1:26" ht="12.75" customHeight="1">
      <c r="A778" s="122"/>
      <c r="B778" s="123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</row>
    <row r="779" spans="1:26" ht="12.75" customHeight="1">
      <c r="A779" s="122"/>
      <c r="B779" s="123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</row>
    <row r="780" spans="1:26" ht="12.75" customHeight="1">
      <c r="A780" s="122"/>
      <c r="B780" s="123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</row>
    <row r="781" spans="1:26" ht="12.75" customHeight="1">
      <c r="A781" s="122"/>
      <c r="B781" s="123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</row>
    <row r="782" spans="1:26" ht="12.75" customHeight="1">
      <c r="A782" s="122"/>
      <c r="B782" s="123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</row>
    <row r="783" spans="1:26" ht="12.75" customHeight="1">
      <c r="A783" s="122"/>
      <c r="B783" s="123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</row>
    <row r="784" spans="1:26" ht="12.75" customHeight="1">
      <c r="A784" s="122"/>
      <c r="B784" s="123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</row>
    <row r="785" spans="1:26" ht="12.75" customHeight="1">
      <c r="A785" s="122"/>
      <c r="B785" s="123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</row>
    <row r="786" spans="1:26" ht="12.75" customHeight="1">
      <c r="A786" s="122"/>
      <c r="B786" s="123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</row>
    <row r="787" spans="1:26" ht="12.75" customHeight="1">
      <c r="A787" s="122"/>
      <c r="B787" s="123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</row>
    <row r="788" spans="1:26" ht="12.75" customHeight="1">
      <c r="A788" s="122"/>
      <c r="B788" s="123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</row>
    <row r="789" spans="1:26" ht="12.75" customHeight="1">
      <c r="A789" s="122"/>
      <c r="B789" s="123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</row>
    <row r="790" spans="1:26" ht="12.75" customHeight="1">
      <c r="A790" s="122"/>
      <c r="B790" s="123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</row>
    <row r="791" spans="1:26" ht="12.75" customHeight="1">
      <c r="A791" s="122"/>
      <c r="B791" s="123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</row>
    <row r="792" spans="1:26" ht="12.75" customHeight="1">
      <c r="A792" s="122"/>
      <c r="B792" s="123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</row>
    <row r="793" spans="1:26" ht="12.75" customHeight="1">
      <c r="A793" s="122"/>
      <c r="B793" s="123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</row>
    <row r="794" spans="1:26" ht="12.75" customHeight="1">
      <c r="A794" s="122"/>
      <c r="B794" s="123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</row>
    <row r="795" spans="1:26" ht="12.75" customHeight="1">
      <c r="A795" s="122"/>
      <c r="B795" s="123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</row>
    <row r="796" spans="1:26" ht="12.75" customHeight="1">
      <c r="A796" s="122"/>
      <c r="B796" s="123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</row>
    <row r="797" spans="1:26" ht="12.75" customHeight="1">
      <c r="A797" s="122"/>
      <c r="B797" s="123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</row>
    <row r="798" spans="1:26" ht="12.75" customHeight="1">
      <c r="A798" s="122"/>
      <c r="B798" s="123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</row>
    <row r="799" spans="1:26" ht="12.75" customHeight="1">
      <c r="A799" s="122"/>
      <c r="B799" s="123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</row>
    <row r="800" spans="1:26" ht="12.75" customHeight="1">
      <c r="A800" s="122"/>
      <c r="B800" s="123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</row>
    <row r="801" spans="1:26" ht="12.75" customHeight="1">
      <c r="A801" s="122"/>
      <c r="B801" s="123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</row>
    <row r="802" spans="1:26" ht="12.75" customHeight="1">
      <c r="A802" s="122"/>
      <c r="B802" s="123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</row>
    <row r="803" spans="1:26" ht="12.75" customHeight="1">
      <c r="A803" s="122"/>
      <c r="B803" s="123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</row>
    <row r="804" spans="1:26" ht="12.75" customHeight="1">
      <c r="A804" s="122"/>
      <c r="B804" s="123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</row>
    <row r="805" spans="1:26" ht="12.75" customHeight="1">
      <c r="A805" s="122"/>
      <c r="B805" s="123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</row>
    <row r="806" spans="1:26" ht="12.75" customHeight="1">
      <c r="A806" s="122"/>
      <c r="B806" s="123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</row>
    <row r="807" spans="1:26" ht="12.75" customHeight="1">
      <c r="A807" s="122"/>
      <c r="B807" s="123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</row>
    <row r="808" spans="1:26" ht="12.75" customHeight="1">
      <c r="A808" s="122"/>
      <c r="B808" s="123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</row>
    <row r="809" spans="1:26" ht="12.75" customHeight="1">
      <c r="A809" s="122"/>
      <c r="B809" s="123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</row>
    <row r="810" spans="1:26" ht="12.75" customHeight="1">
      <c r="A810" s="122"/>
      <c r="B810" s="123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</row>
    <row r="811" spans="1:26" ht="12.75" customHeight="1">
      <c r="A811" s="122"/>
      <c r="B811" s="123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</row>
    <row r="812" spans="1:26" ht="12.75" customHeight="1">
      <c r="A812" s="122"/>
      <c r="B812" s="123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</row>
    <row r="813" spans="1:26" ht="12.75" customHeight="1">
      <c r="A813" s="122"/>
      <c r="B813" s="123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</row>
    <row r="814" spans="1:26" ht="12.75" customHeight="1">
      <c r="A814" s="122"/>
      <c r="B814" s="123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</row>
    <row r="815" spans="1:26" ht="12.75" customHeight="1">
      <c r="A815" s="122"/>
      <c r="B815" s="123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</row>
    <row r="816" spans="1:26" ht="12.75" customHeight="1">
      <c r="A816" s="122"/>
      <c r="B816" s="123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</row>
    <row r="817" spans="1:26" ht="12.75" customHeight="1">
      <c r="A817" s="122"/>
      <c r="B817" s="123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</row>
    <row r="818" spans="1:26" ht="12.75" customHeight="1">
      <c r="A818" s="122"/>
      <c r="B818" s="123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</row>
    <row r="819" spans="1:26" ht="12.75" customHeight="1">
      <c r="A819" s="122"/>
      <c r="B819" s="123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</row>
    <row r="820" spans="1:26" ht="12.75" customHeight="1">
      <c r="A820" s="122"/>
      <c r="B820" s="123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</row>
    <row r="821" spans="1:26" ht="12.75" customHeight="1">
      <c r="A821" s="122"/>
      <c r="B821" s="123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</row>
    <row r="822" spans="1:26" ht="12.75" customHeight="1">
      <c r="A822" s="122"/>
      <c r="B822" s="123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</row>
    <row r="823" spans="1:26" ht="12.75" customHeight="1">
      <c r="A823" s="122"/>
      <c r="B823" s="123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</row>
    <row r="824" spans="1:26" ht="12.75" customHeight="1">
      <c r="A824" s="122"/>
      <c r="B824" s="123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</row>
    <row r="825" spans="1:26" ht="12.75" customHeight="1">
      <c r="A825" s="122"/>
      <c r="B825" s="123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</row>
    <row r="826" spans="1:26" ht="12.75" customHeight="1">
      <c r="A826" s="122"/>
      <c r="B826" s="123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</row>
    <row r="827" spans="1:26" ht="12.75" customHeight="1">
      <c r="A827" s="122"/>
      <c r="B827" s="123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</row>
    <row r="828" spans="1:26" ht="12.75" customHeight="1">
      <c r="A828" s="122"/>
      <c r="B828" s="123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</row>
    <row r="829" spans="1:26" ht="12.75" customHeight="1">
      <c r="A829" s="122"/>
      <c r="B829" s="123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</row>
    <row r="830" spans="1:26" ht="12.75" customHeight="1">
      <c r="A830" s="122"/>
      <c r="B830" s="123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</row>
    <row r="831" spans="1:26" ht="12.75" customHeight="1">
      <c r="A831" s="122"/>
      <c r="B831" s="123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</row>
    <row r="832" spans="1:26" ht="12.75" customHeight="1">
      <c r="A832" s="122"/>
      <c r="B832" s="123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</row>
    <row r="833" spans="1:26" ht="12.75" customHeight="1">
      <c r="A833" s="122"/>
      <c r="B833" s="123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</row>
    <row r="834" spans="1:26" ht="12.75" customHeight="1">
      <c r="A834" s="122"/>
      <c r="B834" s="123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</row>
    <row r="835" spans="1:26" ht="12.75" customHeight="1">
      <c r="A835" s="122"/>
      <c r="B835" s="123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</row>
    <row r="836" spans="1:26" ht="12.75" customHeight="1">
      <c r="A836" s="122"/>
      <c r="B836" s="123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</row>
    <row r="837" spans="1:26" ht="12.75" customHeight="1">
      <c r="A837" s="122"/>
      <c r="B837" s="123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</row>
    <row r="838" spans="1:26" ht="12.75" customHeight="1">
      <c r="A838" s="122"/>
      <c r="B838" s="123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</row>
    <row r="839" spans="1:26" ht="12.75" customHeight="1">
      <c r="A839" s="122"/>
      <c r="B839" s="123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</row>
    <row r="840" spans="1:26" ht="12.75" customHeight="1">
      <c r="A840" s="122"/>
      <c r="B840" s="123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</row>
    <row r="841" spans="1:26" ht="12.75" customHeight="1">
      <c r="A841" s="122"/>
      <c r="B841" s="123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</row>
    <row r="842" spans="1:26" ht="12.75" customHeight="1">
      <c r="A842" s="122"/>
      <c r="B842" s="123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</row>
    <row r="843" spans="1:26" ht="12.75" customHeight="1">
      <c r="A843" s="122"/>
      <c r="B843" s="123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</row>
    <row r="844" spans="1:26" ht="12.75" customHeight="1">
      <c r="A844" s="122"/>
      <c r="B844" s="123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</row>
    <row r="845" spans="1:26" ht="12.75" customHeight="1">
      <c r="A845" s="122"/>
      <c r="B845" s="123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</row>
    <row r="846" spans="1:26" ht="12.75" customHeight="1">
      <c r="A846" s="122"/>
      <c r="B846" s="123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</row>
    <row r="847" spans="1:26" ht="12.75" customHeight="1">
      <c r="A847" s="122"/>
      <c r="B847" s="123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</row>
    <row r="848" spans="1:26" ht="12.75" customHeight="1">
      <c r="A848" s="122"/>
      <c r="B848" s="123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</row>
    <row r="849" spans="1:26" ht="12.75" customHeight="1">
      <c r="A849" s="122"/>
      <c r="B849" s="123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</row>
    <row r="850" spans="1:26" ht="12.75" customHeight="1">
      <c r="A850" s="122"/>
      <c r="B850" s="123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</row>
    <row r="851" spans="1:26" ht="12.75" customHeight="1">
      <c r="A851" s="122"/>
      <c r="B851" s="123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</row>
    <row r="852" spans="1:26" ht="12.75" customHeight="1">
      <c r="A852" s="122"/>
      <c r="B852" s="123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</row>
    <row r="853" spans="1:26" ht="12.75" customHeight="1">
      <c r="A853" s="122"/>
      <c r="B853" s="123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</row>
    <row r="854" spans="1:26" ht="12.75" customHeight="1">
      <c r="A854" s="122"/>
      <c r="B854" s="123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</row>
    <row r="855" spans="1:26" ht="12.75" customHeight="1">
      <c r="A855" s="122"/>
      <c r="B855" s="123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</row>
    <row r="856" spans="1:26" ht="12.75" customHeight="1">
      <c r="A856" s="122"/>
      <c r="B856" s="123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</row>
    <row r="857" spans="1:26" ht="12.75" customHeight="1">
      <c r="A857" s="122"/>
      <c r="B857" s="123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</row>
    <row r="858" spans="1:26" ht="12.75" customHeight="1">
      <c r="A858" s="122"/>
      <c r="B858" s="123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</row>
    <row r="859" spans="1:26" ht="12.75" customHeight="1">
      <c r="A859" s="122"/>
      <c r="B859" s="123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</row>
    <row r="860" spans="1:26" ht="12.75" customHeight="1">
      <c r="A860" s="122"/>
      <c r="B860" s="123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</row>
    <row r="861" spans="1:26" ht="12.75" customHeight="1">
      <c r="A861" s="122"/>
      <c r="B861" s="123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</row>
    <row r="862" spans="1:26" ht="12.75" customHeight="1">
      <c r="A862" s="122"/>
      <c r="B862" s="123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</row>
    <row r="863" spans="1:26" ht="12.75" customHeight="1">
      <c r="A863" s="122"/>
      <c r="B863" s="123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</row>
    <row r="864" spans="1:26" ht="12.75" customHeight="1">
      <c r="A864" s="122"/>
      <c r="B864" s="123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</row>
    <row r="865" spans="1:26" ht="12.75" customHeight="1">
      <c r="A865" s="122"/>
      <c r="B865" s="123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</row>
    <row r="866" spans="1:26" ht="12.75" customHeight="1">
      <c r="A866" s="122"/>
      <c r="B866" s="123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</row>
    <row r="867" spans="1:26" ht="12.75" customHeight="1">
      <c r="A867" s="122"/>
      <c r="B867" s="123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</row>
    <row r="868" spans="1:26" ht="12.75" customHeight="1">
      <c r="A868" s="122"/>
      <c r="B868" s="123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</row>
    <row r="869" spans="1:26" ht="12.75" customHeight="1">
      <c r="A869" s="122"/>
      <c r="B869" s="123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</row>
    <row r="870" spans="1:26" ht="12.75" customHeight="1">
      <c r="A870" s="122"/>
      <c r="B870" s="123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</row>
    <row r="871" spans="1:26" ht="12.75" customHeight="1">
      <c r="A871" s="122"/>
      <c r="B871" s="123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</row>
    <row r="872" spans="1:26" ht="12.75" customHeight="1">
      <c r="A872" s="122"/>
      <c r="B872" s="123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</row>
    <row r="873" spans="1:26" ht="12.75" customHeight="1">
      <c r="A873" s="122"/>
      <c r="B873" s="123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</row>
    <row r="874" spans="1:26" ht="12.75" customHeight="1">
      <c r="A874" s="122"/>
      <c r="B874" s="123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</row>
    <row r="875" spans="1:26" ht="12.75" customHeight="1">
      <c r="A875" s="122"/>
      <c r="B875" s="123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</row>
    <row r="876" spans="1:26" ht="12.75" customHeight="1">
      <c r="A876" s="122"/>
      <c r="B876" s="123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</row>
    <row r="877" spans="1:26" ht="12.75" customHeight="1">
      <c r="A877" s="122"/>
      <c r="B877" s="123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</row>
    <row r="878" spans="1:26" ht="12.75" customHeight="1">
      <c r="A878" s="122"/>
      <c r="B878" s="123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</row>
    <row r="879" spans="1:26" ht="12.75" customHeight="1">
      <c r="A879" s="122"/>
      <c r="B879" s="123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</row>
    <row r="880" spans="1:26" ht="12.75" customHeight="1">
      <c r="A880" s="122"/>
      <c r="B880" s="123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</row>
    <row r="881" spans="1:26" ht="12.75" customHeight="1">
      <c r="A881" s="122"/>
      <c r="B881" s="123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</row>
    <row r="882" spans="1:26" ht="12.75" customHeight="1">
      <c r="A882" s="122"/>
      <c r="B882" s="123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</row>
    <row r="883" spans="1:26" ht="12.75" customHeight="1">
      <c r="A883" s="122"/>
      <c r="B883" s="123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</row>
    <row r="884" spans="1:26" ht="12.75" customHeight="1">
      <c r="A884" s="122"/>
      <c r="B884" s="123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</row>
    <row r="885" spans="1:26" ht="12.75" customHeight="1">
      <c r="A885" s="122"/>
      <c r="B885" s="123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</row>
    <row r="886" spans="1:26" ht="12.75" customHeight="1">
      <c r="A886" s="122"/>
      <c r="B886" s="123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</row>
    <row r="887" spans="1:26" ht="12.75" customHeight="1">
      <c r="A887" s="122"/>
      <c r="B887" s="123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</row>
    <row r="888" spans="1:26" ht="12.75" customHeight="1">
      <c r="A888" s="122"/>
      <c r="B888" s="123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</row>
    <row r="889" spans="1:26" ht="12.75" customHeight="1">
      <c r="A889" s="122"/>
      <c r="B889" s="123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</row>
    <row r="890" spans="1:26" ht="12.75" customHeight="1">
      <c r="A890" s="122"/>
      <c r="B890" s="123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</row>
    <row r="891" spans="1:26" ht="12.75" customHeight="1">
      <c r="A891" s="122"/>
      <c r="B891" s="123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</row>
    <row r="892" spans="1:26" ht="12.75" customHeight="1">
      <c r="A892" s="122"/>
      <c r="B892" s="123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</row>
    <row r="893" spans="1:26" ht="12.75" customHeight="1">
      <c r="A893" s="122"/>
      <c r="B893" s="123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</row>
    <row r="894" spans="1:26" ht="12.75" customHeight="1">
      <c r="A894" s="122"/>
      <c r="B894" s="123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</row>
    <row r="895" spans="1:26" ht="12.75" customHeight="1">
      <c r="A895" s="122"/>
      <c r="B895" s="123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</row>
    <row r="896" spans="1:26" ht="12.75" customHeight="1">
      <c r="A896" s="122"/>
      <c r="B896" s="123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</row>
    <row r="897" spans="1:26" ht="12.75" customHeight="1">
      <c r="A897" s="122"/>
      <c r="B897" s="123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</row>
    <row r="898" spans="1:26" ht="12.75" customHeight="1">
      <c r="A898" s="122"/>
      <c r="B898" s="123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</row>
    <row r="899" spans="1:26" ht="12.75" customHeight="1">
      <c r="A899" s="122"/>
      <c r="B899" s="123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</row>
    <row r="900" spans="1:26" ht="12.75" customHeight="1">
      <c r="A900" s="122"/>
      <c r="B900" s="123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</row>
    <row r="901" spans="1:26" ht="12.75" customHeight="1">
      <c r="A901" s="122"/>
      <c r="B901" s="123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</row>
    <row r="902" spans="1:26" ht="12.75" customHeight="1">
      <c r="A902" s="122"/>
      <c r="B902" s="123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</row>
    <row r="903" spans="1:26" ht="12.75" customHeight="1">
      <c r="A903" s="122"/>
      <c r="B903" s="123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</row>
    <row r="904" spans="1:26" ht="12.75" customHeight="1">
      <c r="A904" s="122"/>
      <c r="B904" s="123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</row>
    <row r="905" spans="1:26" ht="12.75" customHeight="1">
      <c r="A905" s="122"/>
      <c r="B905" s="123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</row>
    <row r="906" spans="1:26" ht="12.75" customHeight="1">
      <c r="A906" s="122"/>
      <c r="B906" s="123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</row>
    <row r="907" spans="1:26" ht="12.75" customHeight="1">
      <c r="A907" s="122"/>
      <c r="B907" s="123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</row>
    <row r="908" spans="1:26" ht="12.75" customHeight="1">
      <c r="A908" s="122"/>
      <c r="B908" s="123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</row>
    <row r="909" spans="1:26" ht="12.75" customHeight="1">
      <c r="A909" s="122"/>
      <c r="B909" s="123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</row>
    <row r="910" spans="1:26" ht="12.75" customHeight="1">
      <c r="A910" s="122"/>
      <c r="B910" s="123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</row>
    <row r="911" spans="1:26" ht="12.75" customHeight="1">
      <c r="A911" s="122"/>
      <c r="B911" s="123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</row>
    <row r="912" spans="1:26" ht="12.75" customHeight="1">
      <c r="A912" s="122"/>
      <c r="B912" s="123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</row>
    <row r="913" spans="1:26" ht="12.75" customHeight="1">
      <c r="A913" s="122"/>
      <c r="B913" s="123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</row>
    <row r="914" spans="1:26" ht="12.75" customHeight="1">
      <c r="A914" s="122"/>
      <c r="B914" s="123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</row>
    <row r="915" spans="1:26" ht="12.75" customHeight="1">
      <c r="A915" s="122"/>
      <c r="B915" s="123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</row>
    <row r="916" spans="1:26" ht="12.75" customHeight="1">
      <c r="A916" s="122"/>
      <c r="B916" s="123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</row>
    <row r="917" spans="1:26" ht="12.75" customHeight="1">
      <c r="A917" s="122"/>
      <c r="B917" s="123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</row>
    <row r="918" spans="1:26" ht="12.75" customHeight="1">
      <c r="A918" s="122"/>
      <c r="B918" s="123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</row>
    <row r="919" spans="1:26" ht="12.75" customHeight="1">
      <c r="A919" s="122"/>
      <c r="B919" s="123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</row>
    <row r="920" spans="1:26" ht="12.75" customHeight="1">
      <c r="A920" s="122"/>
      <c r="B920" s="123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</row>
    <row r="921" spans="1:26" ht="12.75" customHeight="1">
      <c r="A921" s="122"/>
      <c r="B921" s="123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</row>
    <row r="922" spans="1:26" ht="12.75" customHeight="1">
      <c r="A922" s="122"/>
      <c r="B922" s="123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</row>
    <row r="923" spans="1:26" ht="12.75" customHeight="1">
      <c r="A923" s="122"/>
      <c r="B923" s="123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</row>
    <row r="924" spans="1:26" ht="12.75" customHeight="1">
      <c r="A924" s="122"/>
      <c r="B924" s="123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</row>
    <row r="925" spans="1:26" ht="12.75" customHeight="1">
      <c r="A925" s="122"/>
      <c r="B925" s="123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</row>
    <row r="926" spans="1:26" ht="12.75" customHeight="1">
      <c r="A926" s="122"/>
      <c r="B926" s="123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</row>
    <row r="927" spans="1:26" ht="12.75" customHeight="1">
      <c r="A927" s="122"/>
      <c r="B927" s="123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</row>
    <row r="928" spans="1:26" ht="12.75" customHeight="1">
      <c r="A928" s="122"/>
      <c r="B928" s="123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</row>
    <row r="929" spans="1:26" ht="12.75" customHeight="1">
      <c r="A929" s="122"/>
      <c r="B929" s="123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</row>
    <row r="930" spans="1:26" ht="12.75" customHeight="1">
      <c r="A930" s="122"/>
      <c r="B930" s="123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</row>
    <row r="931" spans="1:26" ht="12.75" customHeight="1">
      <c r="A931" s="122"/>
      <c r="B931" s="123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</row>
    <row r="932" spans="1:26" ht="12.75" customHeight="1">
      <c r="A932" s="122"/>
      <c r="B932" s="123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</row>
    <row r="933" spans="1:26" ht="12.75" customHeight="1">
      <c r="A933" s="122"/>
      <c r="B933" s="123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</row>
    <row r="934" spans="1:26" ht="12.75" customHeight="1">
      <c r="A934" s="122"/>
      <c r="B934" s="123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</row>
    <row r="935" spans="1:26" ht="12.75" customHeight="1">
      <c r="A935" s="122"/>
      <c r="B935" s="123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</row>
    <row r="936" spans="1:26" ht="12.75" customHeight="1">
      <c r="A936" s="122"/>
      <c r="B936" s="123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</row>
    <row r="937" spans="1:26" ht="12.75" customHeight="1">
      <c r="A937" s="122"/>
      <c r="B937" s="123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</row>
    <row r="938" spans="1:26" ht="12.75" customHeight="1">
      <c r="A938" s="122"/>
      <c r="B938" s="123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</row>
    <row r="939" spans="1:26" ht="12.75" customHeight="1">
      <c r="A939" s="122"/>
      <c r="B939" s="123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</row>
    <row r="940" spans="1:26" ht="12.75" customHeight="1">
      <c r="A940" s="122"/>
      <c r="B940" s="123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</row>
    <row r="941" spans="1:26" ht="12.75" customHeight="1">
      <c r="A941" s="122"/>
      <c r="B941" s="123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</row>
    <row r="942" spans="1:26" ht="12.75" customHeight="1">
      <c r="A942" s="122"/>
      <c r="B942" s="123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</row>
    <row r="943" spans="1:26" ht="12.75" customHeight="1">
      <c r="A943" s="122"/>
      <c r="B943" s="123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</row>
    <row r="944" spans="1:26" ht="12.75" customHeight="1">
      <c r="A944" s="122"/>
      <c r="B944" s="123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</row>
    <row r="945" spans="1:26" ht="12.75" customHeight="1">
      <c r="A945" s="122"/>
      <c r="B945" s="123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</row>
    <row r="946" spans="1:26" ht="12.75" customHeight="1">
      <c r="A946" s="122"/>
      <c r="B946" s="123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</row>
    <row r="947" spans="1:26" ht="12.75" customHeight="1">
      <c r="A947" s="122"/>
      <c r="B947" s="123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</row>
    <row r="948" spans="1:26" ht="12.75" customHeight="1">
      <c r="A948" s="122"/>
      <c r="B948" s="123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</row>
    <row r="949" spans="1:26" ht="12.75" customHeight="1">
      <c r="A949" s="122"/>
      <c r="B949" s="123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</row>
    <row r="950" spans="1:26" ht="12.75" customHeight="1">
      <c r="A950" s="122"/>
      <c r="B950" s="123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</row>
    <row r="951" spans="1:26" ht="12.75" customHeight="1">
      <c r="A951" s="122"/>
      <c r="B951" s="123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</row>
    <row r="952" spans="1:26" ht="12.75" customHeight="1">
      <c r="A952" s="122"/>
      <c r="B952" s="123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</row>
    <row r="953" spans="1:26" ht="12.75" customHeight="1">
      <c r="A953" s="122"/>
      <c r="B953" s="123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</row>
    <row r="954" spans="1:26" ht="12.75" customHeight="1">
      <c r="A954" s="122"/>
      <c r="B954" s="123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</row>
    <row r="955" spans="1:26" ht="12.75" customHeight="1">
      <c r="A955" s="122"/>
      <c r="B955" s="123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</row>
    <row r="956" spans="1:26" ht="12.75" customHeight="1">
      <c r="A956" s="122"/>
      <c r="B956" s="123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</row>
    <row r="957" spans="1:26" ht="12.75" customHeight="1">
      <c r="A957" s="122"/>
      <c r="B957" s="123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</row>
    <row r="958" spans="1:26" ht="12.75" customHeight="1">
      <c r="A958" s="122"/>
      <c r="B958" s="123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</row>
    <row r="959" spans="1:26" ht="12.75" customHeight="1">
      <c r="A959" s="122"/>
      <c r="B959" s="123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</row>
    <row r="960" spans="1:26" ht="12.75" customHeight="1">
      <c r="A960" s="122"/>
      <c r="B960" s="123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</row>
    <row r="961" spans="1:26" ht="12.75" customHeight="1">
      <c r="A961" s="122"/>
      <c r="B961" s="123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</row>
    <row r="962" spans="1:26" ht="12.75" customHeight="1">
      <c r="A962" s="122"/>
      <c r="B962" s="123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</row>
    <row r="963" spans="1:26" ht="12.75" customHeight="1">
      <c r="A963" s="122"/>
      <c r="B963" s="123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</row>
    <row r="964" spans="1:26" ht="12.75" customHeight="1">
      <c r="A964" s="122"/>
      <c r="B964" s="123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</row>
    <row r="965" spans="1:26" ht="12.75" customHeight="1">
      <c r="A965" s="122"/>
      <c r="B965" s="123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</row>
    <row r="966" spans="1:26" ht="12.75" customHeight="1">
      <c r="A966" s="122"/>
      <c r="B966" s="123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</row>
    <row r="967" spans="1:26" ht="12.75" customHeight="1">
      <c r="A967" s="122"/>
      <c r="B967" s="123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</row>
    <row r="968" spans="1:26" ht="12.75" customHeight="1">
      <c r="A968" s="122"/>
      <c r="B968" s="123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</row>
    <row r="969" spans="1:26" ht="12.75" customHeight="1">
      <c r="A969" s="122"/>
      <c r="B969" s="123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</row>
    <row r="970" spans="1:26" ht="12.75" customHeight="1">
      <c r="A970" s="122"/>
      <c r="B970" s="123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</row>
    <row r="971" spans="1:26" ht="12.75" customHeight="1">
      <c r="A971" s="122"/>
      <c r="B971" s="123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</row>
    <row r="972" spans="1:26" ht="12.75" customHeight="1">
      <c r="A972" s="122"/>
      <c r="B972" s="123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</row>
    <row r="973" spans="1:26" ht="12.75" customHeight="1">
      <c r="A973" s="122"/>
      <c r="B973" s="123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</row>
    <row r="974" spans="1:26" ht="12.75" customHeight="1">
      <c r="A974" s="122"/>
      <c r="B974" s="123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</row>
    <row r="975" spans="1:26" ht="12.75" customHeight="1">
      <c r="A975" s="122"/>
      <c r="B975" s="123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</row>
    <row r="976" spans="1:26" ht="12.75" customHeight="1">
      <c r="A976" s="122"/>
      <c r="B976" s="123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</row>
    <row r="977" spans="1:26" ht="12.75" customHeight="1">
      <c r="A977" s="122"/>
      <c r="B977" s="123"/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</row>
    <row r="978" spans="1:26" ht="12.75" customHeight="1">
      <c r="A978" s="122"/>
      <c r="B978" s="123"/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</row>
    <row r="979" spans="1:26" ht="12.75" customHeight="1">
      <c r="A979" s="122"/>
      <c r="B979" s="123"/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</row>
    <row r="980" spans="1:26" ht="12.75" customHeight="1">
      <c r="A980" s="122"/>
      <c r="B980" s="123"/>
      <c r="C980" s="125"/>
      <c r="D980" s="125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</row>
    <row r="981" spans="1:26" ht="12.75" customHeight="1">
      <c r="A981" s="122"/>
      <c r="B981" s="123"/>
      <c r="C981" s="125"/>
      <c r="D981" s="125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</row>
    <row r="982" spans="1:26" ht="12.75" customHeight="1">
      <c r="A982" s="122"/>
      <c r="B982" s="123"/>
      <c r="C982" s="125"/>
      <c r="D982" s="125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</row>
    <row r="983" spans="1:26" ht="12.75" customHeight="1">
      <c r="A983" s="122"/>
      <c r="B983" s="123"/>
      <c r="C983" s="125"/>
      <c r="D983" s="125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</row>
    <row r="984" spans="1:26" ht="12.75" customHeight="1">
      <c r="A984" s="122"/>
      <c r="B984" s="123"/>
      <c r="C984" s="125"/>
      <c r="D984" s="125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</row>
    <row r="985" spans="1:26" ht="12.75" customHeight="1">
      <c r="A985" s="122"/>
      <c r="B985" s="123"/>
      <c r="C985" s="125"/>
      <c r="D985" s="125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</row>
    <row r="986" spans="1:26" ht="12.75" customHeight="1">
      <c r="A986" s="122"/>
      <c r="B986" s="123"/>
      <c r="C986" s="125"/>
      <c r="D986" s="125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</row>
    <row r="987" spans="1:26" ht="12.75" customHeight="1">
      <c r="A987" s="122"/>
      <c r="B987" s="123"/>
      <c r="C987" s="125"/>
      <c r="D987" s="125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</row>
    <row r="988" spans="1:26" ht="12.75" customHeight="1">
      <c r="A988" s="122"/>
      <c r="B988" s="123"/>
      <c r="C988" s="125"/>
      <c r="D988" s="125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</row>
    <row r="989" spans="1:26" ht="12.75" customHeight="1">
      <c r="A989" s="122"/>
      <c r="B989" s="123"/>
      <c r="C989" s="125"/>
      <c r="D989" s="125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</row>
    <row r="990" spans="1:26" ht="12.75" customHeight="1">
      <c r="A990" s="122"/>
      <c r="B990" s="123"/>
      <c r="C990" s="125"/>
      <c r="D990" s="125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</row>
    <row r="991" spans="1:26" ht="12.75" customHeight="1">
      <c r="A991" s="122"/>
      <c r="B991" s="123"/>
      <c r="C991" s="125"/>
      <c r="D991" s="125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</row>
    <row r="992" spans="1:26" ht="12.75" customHeight="1">
      <c r="A992" s="122"/>
      <c r="B992" s="123"/>
      <c r="C992" s="125"/>
      <c r="D992" s="125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</row>
    <row r="993" spans="1:26" ht="12.75" customHeight="1">
      <c r="A993" s="122"/>
      <c r="B993" s="123"/>
      <c r="C993" s="125"/>
      <c r="D993" s="125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</row>
    <row r="994" spans="1:26" ht="12.75" customHeight="1">
      <c r="A994" s="122"/>
      <c r="B994" s="123"/>
      <c r="C994" s="125"/>
      <c r="D994" s="125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</row>
    <row r="995" spans="1:26" ht="12.75" customHeight="1">
      <c r="A995" s="122"/>
      <c r="B995" s="123"/>
      <c r="C995" s="125"/>
      <c r="D995" s="125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</row>
    <row r="996" spans="1:26" ht="12.75" customHeight="1">
      <c r="A996" s="122"/>
      <c r="B996" s="123"/>
      <c r="C996" s="125"/>
      <c r="D996" s="125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Баллы, оценки</vt:lpstr>
      <vt:lpstr>Чек-лист</vt:lpstr>
      <vt:lpstr>Даты_темы</vt:lpstr>
      <vt:lpstr>Даты_темы!dnevnik_header_0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Ольга Селивёрстова</cp:lastModifiedBy>
  <dcterms:modified xsi:type="dcterms:W3CDTF">2026-10-06T16:10:16Z</dcterms:modified>
</cp:coreProperties>
</file>